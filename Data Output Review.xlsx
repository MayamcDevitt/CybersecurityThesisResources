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ya.mcdevitt/Downloads/"/>
    </mc:Choice>
  </mc:AlternateContent>
  <xr:revisionPtr revIDLastSave="0" documentId="13_ncr:1_{3C76A368-A498-C94B-8EC8-0B8DBAB5C2BE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0" i="1" l="1"/>
  <c r="S30" i="1"/>
  <c r="Q30" i="1"/>
  <c r="U30" i="1" s="1"/>
  <c r="O30" i="1"/>
  <c r="M30" i="1"/>
  <c r="K30" i="1"/>
  <c r="I30" i="1"/>
  <c r="G30" i="1"/>
  <c r="E30" i="1"/>
  <c r="W30" i="1" s="1"/>
  <c r="W29" i="1"/>
  <c r="S29" i="1"/>
  <c r="Q29" i="1"/>
  <c r="U29" i="1" s="1"/>
  <c r="V29" i="1" s="1"/>
  <c r="T29" i="1" s="1"/>
  <c r="O29" i="1"/>
  <c r="M29" i="1"/>
  <c r="K29" i="1"/>
  <c r="I29" i="1"/>
  <c r="G29" i="1"/>
  <c r="E29" i="1"/>
  <c r="S28" i="1"/>
  <c r="Q28" i="1"/>
  <c r="U28" i="1" s="1"/>
  <c r="V28" i="1" s="1"/>
  <c r="T28" i="1" s="1"/>
  <c r="O28" i="1"/>
  <c r="M28" i="1"/>
  <c r="K28" i="1"/>
  <c r="W28" i="1" s="1"/>
  <c r="I28" i="1"/>
  <c r="G28" i="1"/>
  <c r="E28" i="1"/>
  <c r="S27" i="1"/>
  <c r="Q27" i="1"/>
  <c r="U27" i="1" s="1"/>
  <c r="V27" i="1" s="1"/>
  <c r="T27" i="1" s="1"/>
  <c r="O27" i="1"/>
  <c r="M27" i="1"/>
  <c r="K27" i="1"/>
  <c r="I27" i="1"/>
  <c r="G27" i="1"/>
  <c r="E27" i="1"/>
  <c r="W27" i="1" s="1"/>
  <c r="S26" i="1"/>
  <c r="Q26" i="1"/>
  <c r="U26" i="1" s="1"/>
  <c r="V26" i="1" s="1"/>
  <c r="O26" i="1"/>
  <c r="M26" i="1"/>
  <c r="K26" i="1"/>
  <c r="I26" i="1"/>
  <c r="G26" i="1"/>
  <c r="E26" i="1"/>
  <c r="W26" i="1" s="1"/>
  <c r="W25" i="1"/>
  <c r="S25" i="1"/>
  <c r="Q25" i="1"/>
  <c r="U25" i="1" s="1"/>
  <c r="V25" i="1" s="1"/>
  <c r="T25" i="1" s="1"/>
  <c r="O25" i="1"/>
  <c r="M25" i="1"/>
  <c r="K25" i="1"/>
  <c r="I25" i="1"/>
  <c r="G25" i="1"/>
  <c r="E25" i="1"/>
  <c r="V24" i="1"/>
  <c r="S24" i="1"/>
  <c r="Q24" i="1"/>
  <c r="U24" i="1" s="1"/>
  <c r="O24" i="1"/>
  <c r="M24" i="1"/>
  <c r="K24" i="1"/>
  <c r="I24" i="1"/>
  <c r="G24" i="1"/>
  <c r="E24" i="1"/>
  <c r="W24" i="1" s="1"/>
  <c r="W23" i="1"/>
  <c r="S23" i="1"/>
  <c r="Q23" i="1"/>
  <c r="U23" i="1" s="1"/>
  <c r="V23" i="1" s="1"/>
  <c r="T23" i="1" s="1"/>
  <c r="O23" i="1"/>
  <c r="M23" i="1"/>
  <c r="K23" i="1"/>
  <c r="I23" i="1"/>
  <c r="G23" i="1"/>
  <c r="E23" i="1"/>
  <c r="S22" i="1"/>
  <c r="Q22" i="1"/>
  <c r="U22" i="1" s="1"/>
  <c r="V22" i="1" s="1"/>
  <c r="O22" i="1"/>
  <c r="M22" i="1"/>
  <c r="K22" i="1"/>
  <c r="W22" i="1" s="1"/>
  <c r="I22" i="1"/>
  <c r="G22" i="1"/>
  <c r="E22" i="1"/>
  <c r="S21" i="1"/>
  <c r="Q21" i="1"/>
  <c r="U21" i="1" s="1"/>
  <c r="V21" i="1" s="1"/>
  <c r="T21" i="1" s="1"/>
  <c r="O21" i="1"/>
  <c r="M21" i="1"/>
  <c r="K21" i="1"/>
  <c r="I21" i="1"/>
  <c r="G21" i="1"/>
  <c r="E21" i="1"/>
  <c r="W21" i="1" s="1"/>
  <c r="S20" i="1"/>
  <c r="Q20" i="1"/>
  <c r="U20" i="1" s="1"/>
  <c r="V20" i="1" s="1"/>
  <c r="T20" i="1" s="1"/>
  <c r="O20" i="1"/>
  <c r="M20" i="1"/>
  <c r="K20" i="1"/>
  <c r="I20" i="1"/>
  <c r="G20" i="1"/>
  <c r="E20" i="1"/>
  <c r="W20" i="1" s="1"/>
  <c r="W19" i="1"/>
  <c r="S19" i="1"/>
  <c r="Q19" i="1"/>
  <c r="U19" i="1" s="1"/>
  <c r="V19" i="1" s="1"/>
  <c r="T19" i="1" s="1"/>
  <c r="O19" i="1"/>
  <c r="M19" i="1"/>
  <c r="K19" i="1"/>
  <c r="I19" i="1"/>
  <c r="G19" i="1"/>
  <c r="E19" i="1"/>
  <c r="V18" i="1"/>
  <c r="S18" i="1"/>
  <c r="Q18" i="1"/>
  <c r="U18" i="1" s="1"/>
  <c r="O18" i="1"/>
  <c r="M18" i="1"/>
  <c r="K18" i="1"/>
  <c r="I18" i="1"/>
  <c r="G18" i="1"/>
  <c r="E18" i="1"/>
  <c r="W18" i="1" s="1"/>
  <c r="W17" i="1"/>
  <c r="S17" i="1"/>
  <c r="Q17" i="1"/>
  <c r="U17" i="1" s="1"/>
  <c r="V17" i="1" s="1"/>
  <c r="T17" i="1" s="1"/>
  <c r="O17" i="1"/>
  <c r="M17" i="1"/>
  <c r="K17" i="1"/>
  <c r="I17" i="1"/>
  <c r="G17" i="1"/>
  <c r="E17" i="1"/>
  <c r="S16" i="1"/>
  <c r="Q16" i="1"/>
  <c r="U16" i="1" s="1"/>
  <c r="V16" i="1" s="1"/>
  <c r="O16" i="1"/>
  <c r="M16" i="1"/>
  <c r="K16" i="1"/>
  <c r="W16" i="1" s="1"/>
  <c r="I16" i="1"/>
  <c r="G16" i="1"/>
  <c r="E16" i="1"/>
  <c r="U15" i="1"/>
  <c r="V15" i="1" s="1"/>
  <c r="S15" i="1"/>
  <c r="Q15" i="1"/>
  <c r="O15" i="1"/>
  <c r="M15" i="1"/>
  <c r="K15" i="1"/>
  <c r="I15" i="1"/>
  <c r="G15" i="1"/>
  <c r="E15" i="1"/>
  <c r="W15" i="1" s="1"/>
  <c r="S14" i="1"/>
  <c r="Q14" i="1"/>
  <c r="U14" i="1" s="1"/>
  <c r="V14" i="1" s="1"/>
  <c r="T14" i="1" s="1"/>
  <c r="O14" i="1"/>
  <c r="M14" i="1"/>
  <c r="K14" i="1"/>
  <c r="I14" i="1"/>
  <c r="G14" i="1"/>
  <c r="W14" i="1" s="1"/>
  <c r="E14" i="1"/>
  <c r="S13" i="1"/>
  <c r="Q13" i="1"/>
  <c r="U13" i="1" s="1"/>
  <c r="V13" i="1" s="1"/>
  <c r="T13" i="1" s="1"/>
  <c r="O13" i="1"/>
  <c r="M13" i="1"/>
  <c r="K13" i="1"/>
  <c r="I13" i="1"/>
  <c r="G13" i="1"/>
  <c r="E13" i="1"/>
  <c r="W13" i="1" s="1"/>
  <c r="S12" i="1"/>
  <c r="Q12" i="1"/>
  <c r="U12" i="1" s="1"/>
  <c r="V12" i="1" s="1"/>
  <c r="O12" i="1"/>
  <c r="M12" i="1"/>
  <c r="K12" i="1"/>
  <c r="I12" i="1"/>
  <c r="G12" i="1"/>
  <c r="E12" i="1"/>
  <c r="W12" i="1" s="1"/>
  <c r="W11" i="1"/>
  <c r="U11" i="1"/>
  <c r="V11" i="1" s="1"/>
  <c r="T11" i="1" s="1"/>
  <c r="S11" i="1"/>
  <c r="Q11" i="1"/>
  <c r="O11" i="1"/>
  <c r="M11" i="1"/>
  <c r="K11" i="1"/>
  <c r="I11" i="1"/>
  <c r="G11" i="1"/>
  <c r="E11" i="1"/>
  <c r="W10" i="1"/>
  <c r="S10" i="1"/>
  <c r="Q10" i="1"/>
  <c r="U10" i="1" s="1"/>
  <c r="V10" i="1" s="1"/>
  <c r="T10" i="1" s="1"/>
  <c r="O10" i="1"/>
  <c r="M10" i="1"/>
  <c r="K10" i="1"/>
  <c r="I10" i="1"/>
  <c r="G10" i="1"/>
  <c r="E10" i="1"/>
  <c r="U9" i="1"/>
  <c r="V9" i="1" s="1"/>
  <c r="T9" i="1" s="1"/>
  <c r="S9" i="1"/>
  <c r="Q9" i="1"/>
  <c r="O9" i="1"/>
  <c r="M9" i="1"/>
  <c r="K9" i="1"/>
  <c r="I9" i="1"/>
  <c r="G9" i="1"/>
  <c r="E9" i="1"/>
  <c r="W9" i="1" s="1"/>
  <c r="W8" i="1"/>
  <c r="U8" i="1"/>
  <c r="V8" i="1" s="1"/>
  <c r="T8" i="1" s="1"/>
  <c r="S8" i="1"/>
  <c r="Q8" i="1"/>
  <c r="O8" i="1"/>
  <c r="M8" i="1"/>
  <c r="K8" i="1"/>
  <c r="I8" i="1"/>
  <c r="G8" i="1"/>
  <c r="E8" i="1"/>
  <c r="S7" i="1"/>
  <c r="Q7" i="1"/>
  <c r="U7" i="1" s="1"/>
  <c r="V7" i="1" s="1"/>
  <c r="O7" i="1"/>
  <c r="M7" i="1"/>
  <c r="K7" i="1"/>
  <c r="I7" i="1"/>
  <c r="G7" i="1"/>
  <c r="E7" i="1"/>
  <c r="W7" i="1" s="1"/>
  <c r="W6" i="1"/>
  <c r="S6" i="1"/>
  <c r="Q6" i="1"/>
  <c r="U6" i="1" s="1"/>
  <c r="V6" i="1" s="1"/>
  <c r="T6" i="1" s="1"/>
  <c r="O6" i="1"/>
  <c r="M6" i="1"/>
  <c r="K6" i="1"/>
  <c r="I6" i="1"/>
  <c r="G6" i="1"/>
  <c r="E6" i="1"/>
  <c r="W5" i="1"/>
  <c r="V5" i="1"/>
  <c r="U5" i="1"/>
  <c r="S5" i="1"/>
  <c r="Q5" i="1"/>
  <c r="O5" i="1"/>
  <c r="M5" i="1"/>
  <c r="K5" i="1"/>
  <c r="I5" i="1"/>
  <c r="G5" i="1"/>
  <c r="E5" i="1"/>
  <c r="T26" i="1" l="1"/>
  <c r="T12" i="1"/>
  <c r="T22" i="1"/>
  <c r="T16" i="1"/>
  <c r="T7" i="1"/>
  <c r="T15" i="1"/>
  <c r="T24" i="1"/>
  <c r="T5" i="1"/>
  <c r="T18" i="1"/>
  <c r="T30" i="1"/>
</calcChain>
</file>

<file path=xl/sharedStrings.xml><?xml version="1.0" encoding="utf-8"?>
<sst xmlns="http://schemas.openxmlformats.org/spreadsheetml/2006/main" count="35" uniqueCount="35">
  <si>
    <t>"What are we working on?"</t>
  </si>
  <si>
    <t>"What can go wrong?"</t>
  </si>
  <si>
    <t>Base Score Metrics</t>
  </si>
  <si>
    <t>Analyse Model</t>
  </si>
  <si>
    <t>Identify Threats</t>
  </si>
  <si>
    <t>Step 1</t>
  </si>
  <si>
    <t>Step 3</t>
  </si>
  <si>
    <t>Step 4</t>
  </si>
  <si>
    <t>Exploitability Metrics</t>
  </si>
  <si>
    <t xml:space="preserve">Vulnrability System Impact Metrics </t>
  </si>
  <si>
    <t>Base Scores</t>
  </si>
  <si>
    <t>Artifact depicted in the diagram</t>
  </si>
  <si>
    <t>Applicable Threats (STRIDE Classification)</t>
  </si>
  <si>
    <t>Threat description</t>
  </si>
  <si>
    <t>Attack Vector (AV)</t>
  </si>
  <si>
    <t>Numerical Value (AV)</t>
  </si>
  <si>
    <t>Attack Complexity</t>
  </si>
  <si>
    <t>Numerical Value (AC)</t>
  </si>
  <si>
    <t>Privilages Required</t>
  </si>
  <si>
    <t>Numerical Value (PR)</t>
  </si>
  <si>
    <t>User Interaction</t>
  </si>
  <si>
    <t>Numerical Value (UI)</t>
  </si>
  <si>
    <t>Scope</t>
  </si>
  <si>
    <t>Numerical Value (S)</t>
  </si>
  <si>
    <t>Confidentiality (VC):</t>
  </si>
  <si>
    <t>Numerical Value (VC)</t>
  </si>
  <si>
    <t>Integrity (VI):</t>
  </si>
  <si>
    <t>Numerical Value (VI)</t>
  </si>
  <si>
    <t>Availability (VA):</t>
  </si>
  <si>
    <t>Numerical Value (VA)</t>
  </si>
  <si>
    <t>Base</t>
  </si>
  <si>
    <t>i_mul</t>
  </si>
  <si>
    <t>Impact</t>
  </si>
  <si>
    <t>Exploitability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</si>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</sst>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>
    <font>
      <sz val="10"/>
      <color rgb="FF000000"/>
      <name val="Arial"/>
      <scheme val="minor"/>
    </font>
    <font>
      <i/>
      <sz val="10"/>
      <color rgb="FFFFFFFF"/>
      <name val="Overpass"/>
    </font>
    <font>
      <i/>
      <sz val="10"/>
      <color rgb="FF2B4865"/>
      <name val="Overpass"/>
    </font>
    <font>
      <sz val="10"/>
      <name val="Arial"/>
    </font>
    <font>
      <b/>
      <sz val="10"/>
      <color rgb="FFB45F06"/>
      <name val="Arial"/>
    </font>
    <font>
      <sz val="10"/>
      <color rgb="FF000000"/>
      <name val="Arial"/>
    </font>
    <font>
      <sz val="11"/>
      <color rgb="FF000000"/>
      <name val="&quot;Aptos Narrow&quot;"/>
    </font>
    <font>
      <b/>
      <sz val="10"/>
      <color rgb="FFFFFFFF"/>
      <name val="Overpass"/>
    </font>
    <font>
      <b/>
      <sz val="10"/>
      <color rgb="FF2B4865"/>
      <name val="Overpass"/>
    </font>
    <font>
      <b/>
      <sz val="10"/>
      <color rgb="FFCC0000"/>
      <name val="Arial"/>
    </font>
    <font>
      <i/>
      <sz val="10"/>
      <color rgb="FFCC0000"/>
      <name val="Arial"/>
    </font>
    <font>
      <sz val="10"/>
      <color rgb="FFCC0000"/>
      <name val="Arial"/>
    </font>
    <font>
      <sz val="11"/>
      <color rgb="FF000000"/>
      <name val="Arial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B4865"/>
        <bgColor rgb="FF2B4865"/>
      </patternFill>
    </fill>
    <fill>
      <patternFill patternType="solid">
        <fgColor rgb="FF46BDC6"/>
        <bgColor rgb="FF46BDC6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2" borderId="3" xfId="0" applyFont="1" applyFill="1" applyBorder="1"/>
    <xf numFmtId="0" fontId="7" fillId="2" borderId="5" xfId="0" applyFont="1" applyFill="1" applyBorder="1"/>
    <xf numFmtId="0" fontId="8" fillId="3" borderId="6" xfId="0" applyFont="1" applyFill="1" applyBorder="1"/>
    <xf numFmtId="0" fontId="7" fillId="2" borderId="7" xfId="0" applyFont="1" applyFill="1" applyBorder="1"/>
    <xf numFmtId="0" fontId="8" fillId="3" borderId="8" xfId="0" applyFont="1" applyFill="1" applyBorder="1"/>
    <xf numFmtId="0" fontId="10" fillId="5" borderId="6" xfId="0" applyFont="1" applyFill="1" applyBorder="1"/>
    <xf numFmtId="0" fontId="11" fillId="5" borderId="6" xfId="0" applyFont="1" applyFill="1" applyBorder="1"/>
    <xf numFmtId="0" fontId="10" fillId="5" borderId="4" xfId="0" applyFont="1" applyFill="1" applyBorder="1"/>
    <xf numFmtId="0" fontId="5" fillId="6" borderId="0" xfId="0" applyFont="1" applyFill="1"/>
    <xf numFmtId="0" fontId="12" fillId="7" borderId="0" xfId="0" applyFont="1" applyFill="1"/>
    <xf numFmtId="0" fontId="5" fillId="7" borderId="0" xfId="0" applyFont="1" applyFill="1"/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/>
    <xf numFmtId="0" fontId="2" fillId="3" borderId="2" xfId="0" applyFont="1" applyFill="1" applyBorder="1"/>
    <xf numFmtId="0" fontId="3" fillId="0" borderId="2" xfId="0" applyFont="1" applyBorder="1"/>
    <xf numFmtId="0" fontId="4" fillId="4" borderId="0" xfId="0" applyFont="1" applyFill="1" applyAlignment="1">
      <alignment horizontal="center"/>
    </xf>
    <xf numFmtId="0" fontId="0" fillId="0" borderId="0" xfId="0"/>
    <xf numFmtId="0" fontId="3" fillId="0" borderId="4" xfId="0" applyFont="1" applyBorder="1"/>
    <xf numFmtId="0" fontId="8" fillId="3" borderId="4" xfId="0" applyFont="1" applyFill="1" applyBorder="1"/>
    <xf numFmtId="0" fontId="9" fillId="5" borderId="4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76"/>
  <sheetViews>
    <sheetView tabSelected="1" workbookViewId="0">
      <selection activeCell="F8" sqref="F8"/>
    </sheetView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15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3">
      <c r="A1" s="1" t="s">
        <v>0</v>
      </c>
      <c r="B1" s="23" t="s">
        <v>1</v>
      </c>
      <c r="C1" s="24"/>
      <c r="D1" s="25" t="s">
        <v>2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"/>
      <c r="Y1" s="2"/>
      <c r="Z1" s="2"/>
      <c r="AA1" s="2"/>
      <c r="AB1" s="2"/>
      <c r="AC1" s="2"/>
      <c r="AD1" s="2"/>
      <c r="AE1" s="2"/>
      <c r="AF1" s="3"/>
    </row>
    <row r="2" spans="1:33">
      <c r="A2" s="4" t="s">
        <v>3</v>
      </c>
      <c r="B2" s="28" t="s">
        <v>4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"/>
      <c r="Y2" s="2"/>
      <c r="Z2" s="2"/>
      <c r="AA2" s="2"/>
      <c r="AB2" s="2"/>
      <c r="AC2" s="2"/>
      <c r="AD2" s="2"/>
      <c r="AE2" s="2"/>
      <c r="AF2" s="3"/>
    </row>
    <row r="3" spans="1:33">
      <c r="A3" s="5" t="s">
        <v>5</v>
      </c>
      <c r="B3" s="6" t="s">
        <v>6</v>
      </c>
      <c r="C3" s="6" t="s">
        <v>7</v>
      </c>
      <c r="D3" s="29" t="s">
        <v>8</v>
      </c>
      <c r="E3" s="27"/>
      <c r="F3" s="27"/>
      <c r="G3" s="27"/>
      <c r="H3" s="27"/>
      <c r="I3" s="27"/>
      <c r="J3" s="27"/>
      <c r="K3" s="27"/>
      <c r="L3" s="27"/>
      <c r="M3" s="27"/>
      <c r="N3" s="30" t="s">
        <v>9</v>
      </c>
      <c r="O3" s="26"/>
      <c r="P3" s="26"/>
      <c r="Q3" s="26"/>
      <c r="R3" s="26"/>
      <c r="S3" s="26"/>
      <c r="T3" s="31" t="s">
        <v>10</v>
      </c>
      <c r="U3" s="26"/>
      <c r="V3" s="26"/>
      <c r="W3" s="26"/>
      <c r="X3" s="2"/>
      <c r="Y3" s="2"/>
      <c r="Z3" s="2"/>
      <c r="AA3" s="2"/>
      <c r="AB3" s="2"/>
      <c r="AC3" s="2"/>
      <c r="AD3" s="2"/>
      <c r="AE3" s="2"/>
      <c r="AF3" s="3"/>
    </row>
    <row r="4" spans="1:33">
      <c r="A4" s="7" t="s">
        <v>11</v>
      </c>
      <c r="B4" s="8" t="s">
        <v>12</v>
      </c>
      <c r="C4" s="8" t="s">
        <v>13</v>
      </c>
      <c r="D4" s="9" t="s">
        <v>14</v>
      </c>
      <c r="E4" s="9" t="s">
        <v>15</v>
      </c>
      <c r="F4" s="10" t="s">
        <v>16</v>
      </c>
      <c r="G4" s="9" t="s">
        <v>17</v>
      </c>
      <c r="H4" s="10" t="s">
        <v>18</v>
      </c>
      <c r="I4" s="9" t="s">
        <v>19</v>
      </c>
      <c r="J4" s="10" t="s">
        <v>20</v>
      </c>
      <c r="K4" s="9" t="s">
        <v>21</v>
      </c>
      <c r="L4" s="10" t="s">
        <v>22</v>
      </c>
      <c r="M4" s="11" t="s">
        <v>23</v>
      </c>
      <c r="N4" s="12" t="s">
        <v>24</v>
      </c>
      <c r="O4" s="12" t="s">
        <v>25</v>
      </c>
      <c r="P4" s="12" t="s">
        <v>26</v>
      </c>
      <c r="Q4" s="12" t="s">
        <v>27</v>
      </c>
      <c r="R4" s="12" t="s">
        <v>28</v>
      </c>
      <c r="S4" s="12" t="s">
        <v>29</v>
      </c>
      <c r="T4" s="13" t="s">
        <v>30</v>
      </c>
      <c r="U4" s="13" t="s">
        <v>31</v>
      </c>
      <c r="V4" s="14" t="s">
        <v>32</v>
      </c>
      <c r="W4" s="14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3">
      <c r="A5" s="15" t="s">
        <v>34</v>
      </c>
      <c r="B5" s="16"/>
      <c r="C5" s="16"/>
      <c r="D5" s="17"/>
      <c r="E5" s="16">
        <f t="shared" ref="E5:E30" si="0">IF(D5="Network",0.85,IF(D5="Adjacent Network",0.62,IF(D5="Local",0.55,IF(D5="Physical",0.2,0))))</f>
        <v>0</v>
      </c>
      <c r="F5" s="17"/>
      <c r="G5" s="16">
        <f>IF(F5="High",0.44,IF(F5="Low",0.77,0))</f>
        <v>0</v>
      </c>
      <c r="H5" s="17"/>
      <c r="I5" s="16">
        <f t="shared" ref="I5:I30" si="1">IF(H5="None",0.85,IF(AND(H5="Low",L5="Unchanged"),0.62,IF(AND(H5="Low",L5="Changed"),0.68,IF(AND(H5="High",L5="Changed"),0.5,IF(AND(H5="High",L5="Unchanged"),0.27,0)))))</f>
        <v>0</v>
      </c>
      <c r="J5" s="17"/>
      <c r="K5" s="16">
        <f t="shared" ref="K5:K30" si="2">IF(J5="Required",0.62,IF(J5="None",0.85,0))</f>
        <v>0</v>
      </c>
      <c r="L5" s="17"/>
      <c r="M5" s="16">
        <f t="shared" ref="M5:M30" si="3">IF(L5="Changed",7.52,IF(L5="Unchanged",6.42,0))</f>
        <v>0</v>
      </c>
      <c r="N5" s="17"/>
      <c r="O5" s="17">
        <f t="shared" ref="O5:O30" si="4">IF(N5="High",0.56,IF(N5="Low",0.22,IF(N5="None",0,0)))</f>
        <v>0</v>
      </c>
      <c r="P5" s="17"/>
      <c r="Q5" s="17">
        <f t="shared" ref="Q5:Q30" si="5">IF(P5="High",0.56,IF(P5="Low",0.22,IF(P5="None",0,0)))</f>
        <v>0</v>
      </c>
      <c r="R5" s="17"/>
      <c r="S5" s="17">
        <f t="shared" ref="S5:S30" si="6">IF(R5="High",0.56,IF(R5="Low",0.22,IF(R5="None",0,0)))</f>
        <v>0</v>
      </c>
      <c r="T5" s="18">
        <f t="shared" ref="T5:T30" si="7">IF(V5&lt;=0,0,IF(L5="Unchanged",MIN(W5+V5,10),MIN((W5+V5)*1.08,10)))</f>
        <v>1.1501568000000004E-25</v>
      </c>
      <c r="U5" s="19">
        <f t="shared" ref="U5:U30" si="8">(1-((1-O5)*(1-Q5)*(1-S5)))</f>
        <v>0</v>
      </c>
      <c r="V5" s="20">
        <f t="shared" ref="V5:V30" si="9">IF(L5="Unchanged",M5*U5,M5*(U5-0.029)-3.25*POWER(U5-0.02,15))</f>
        <v>1.0649600000000003E-25</v>
      </c>
      <c r="W5" s="20">
        <f t="shared" ref="W5:W30" si="10">8.22*E5*G5*I5*K5</f>
        <v>0</v>
      </c>
      <c r="X5" s="16"/>
      <c r="Y5" s="16"/>
      <c r="Z5" s="16"/>
      <c r="AA5" s="16"/>
      <c r="AB5" s="16"/>
      <c r="AC5" s="16"/>
      <c r="AD5" s="16"/>
      <c r="AE5" s="16"/>
      <c r="AF5" s="16"/>
      <c r="AG5" s="21"/>
    </row>
    <row r="6" spans="1:33">
      <c r="A6" s="15"/>
      <c r="B6" s="16"/>
      <c r="C6" s="16"/>
      <c r="D6" s="16"/>
      <c r="E6" s="16">
        <f t="shared" si="0"/>
        <v>0</v>
      </c>
      <c r="F6" s="16"/>
      <c r="G6" s="16">
        <f t="shared" ref="G6:G30" si="11">IF(F6="Low",0.77,IF(F6="High",0.44,0))</f>
        <v>0</v>
      </c>
      <c r="H6" s="16"/>
      <c r="I6" s="16">
        <f t="shared" si="1"/>
        <v>0</v>
      </c>
      <c r="J6" s="16"/>
      <c r="K6" s="16">
        <f t="shared" si="2"/>
        <v>0</v>
      </c>
      <c r="L6" s="16"/>
      <c r="M6" s="16">
        <f t="shared" si="3"/>
        <v>0</v>
      </c>
      <c r="N6" s="17"/>
      <c r="O6" s="17">
        <f t="shared" si="4"/>
        <v>0</v>
      </c>
      <c r="P6" s="16"/>
      <c r="Q6" s="17">
        <f t="shared" si="5"/>
        <v>0</v>
      </c>
      <c r="R6" s="16"/>
      <c r="S6" s="17">
        <f t="shared" si="6"/>
        <v>0</v>
      </c>
      <c r="T6" s="18">
        <f t="shared" si="7"/>
        <v>1.1501568000000004E-25</v>
      </c>
      <c r="U6" s="19">
        <f t="shared" si="8"/>
        <v>0</v>
      </c>
      <c r="V6" s="20">
        <f t="shared" si="9"/>
        <v>1.0649600000000003E-25</v>
      </c>
      <c r="W6" s="20">
        <f t="shared" si="10"/>
        <v>0</v>
      </c>
      <c r="X6" s="16"/>
      <c r="Y6" s="16"/>
      <c r="Z6" s="16"/>
      <c r="AA6" s="16"/>
      <c r="AB6" s="16"/>
      <c r="AC6" s="16"/>
      <c r="AD6" s="16"/>
      <c r="AE6" s="16"/>
      <c r="AF6" s="16"/>
      <c r="AG6" s="21"/>
    </row>
    <row r="7" spans="1:33">
      <c r="A7" s="15"/>
      <c r="B7" s="16"/>
      <c r="C7" s="16"/>
      <c r="D7" s="16"/>
      <c r="E7" s="16">
        <f t="shared" si="0"/>
        <v>0</v>
      </c>
      <c r="F7" s="16"/>
      <c r="G7" s="16">
        <f t="shared" si="11"/>
        <v>0</v>
      </c>
      <c r="H7" s="16"/>
      <c r="I7" s="16">
        <f t="shared" si="1"/>
        <v>0</v>
      </c>
      <c r="J7" s="16"/>
      <c r="K7" s="16">
        <f t="shared" si="2"/>
        <v>0</v>
      </c>
      <c r="L7" s="16"/>
      <c r="M7" s="16">
        <f t="shared" si="3"/>
        <v>0</v>
      </c>
      <c r="N7" s="16"/>
      <c r="O7" s="17">
        <f t="shared" si="4"/>
        <v>0</v>
      </c>
      <c r="P7" s="16"/>
      <c r="Q7" s="17">
        <f t="shared" si="5"/>
        <v>0</v>
      </c>
      <c r="R7" s="16"/>
      <c r="S7" s="17">
        <f t="shared" si="6"/>
        <v>0</v>
      </c>
      <c r="T7" s="18">
        <f t="shared" si="7"/>
        <v>1.1501568000000004E-25</v>
      </c>
      <c r="U7" s="19">
        <f t="shared" si="8"/>
        <v>0</v>
      </c>
      <c r="V7" s="20">
        <f t="shared" si="9"/>
        <v>1.0649600000000003E-25</v>
      </c>
      <c r="W7" s="20">
        <f t="shared" si="10"/>
        <v>0</v>
      </c>
      <c r="X7" s="16"/>
      <c r="Y7" s="16"/>
      <c r="Z7" s="16"/>
      <c r="AA7" s="16"/>
      <c r="AB7" s="16"/>
      <c r="AC7" s="16"/>
      <c r="AD7" s="16"/>
      <c r="AE7" s="16"/>
      <c r="AF7" s="16"/>
      <c r="AG7" s="21"/>
    </row>
    <row r="8" spans="1:33">
      <c r="A8" s="15"/>
      <c r="B8" s="16"/>
      <c r="C8" s="16"/>
      <c r="D8" s="16"/>
      <c r="E8" s="16">
        <f t="shared" si="0"/>
        <v>0</v>
      </c>
      <c r="F8" s="16"/>
      <c r="G8" s="16">
        <f t="shared" si="11"/>
        <v>0</v>
      </c>
      <c r="H8" s="16"/>
      <c r="I8" s="16">
        <f t="shared" si="1"/>
        <v>0</v>
      </c>
      <c r="J8" s="16"/>
      <c r="K8" s="16">
        <f t="shared" si="2"/>
        <v>0</v>
      </c>
      <c r="L8" s="16"/>
      <c r="M8" s="16">
        <f t="shared" si="3"/>
        <v>0</v>
      </c>
      <c r="N8" s="16"/>
      <c r="O8" s="17">
        <f t="shared" si="4"/>
        <v>0</v>
      </c>
      <c r="P8" s="16"/>
      <c r="Q8" s="17">
        <f t="shared" si="5"/>
        <v>0</v>
      </c>
      <c r="R8" s="16"/>
      <c r="S8" s="17">
        <f t="shared" si="6"/>
        <v>0</v>
      </c>
      <c r="T8" s="18">
        <f t="shared" si="7"/>
        <v>1.1501568000000004E-25</v>
      </c>
      <c r="U8" s="19">
        <f t="shared" si="8"/>
        <v>0</v>
      </c>
      <c r="V8" s="20">
        <f t="shared" si="9"/>
        <v>1.0649600000000003E-25</v>
      </c>
      <c r="W8" s="20">
        <f t="shared" si="10"/>
        <v>0</v>
      </c>
      <c r="X8" s="16"/>
      <c r="Y8" s="16"/>
      <c r="Z8" s="16"/>
      <c r="AA8" s="16"/>
      <c r="AB8" s="16"/>
      <c r="AC8" s="16"/>
      <c r="AD8" s="16"/>
      <c r="AE8" s="16"/>
      <c r="AF8" s="16"/>
      <c r="AG8" s="21"/>
    </row>
    <row r="9" spans="1:33">
      <c r="A9" s="15"/>
      <c r="B9" s="16"/>
      <c r="C9" s="16"/>
      <c r="D9" s="16"/>
      <c r="E9" s="16">
        <f t="shared" si="0"/>
        <v>0</v>
      </c>
      <c r="F9" s="16"/>
      <c r="G9" s="16">
        <f t="shared" si="11"/>
        <v>0</v>
      </c>
      <c r="H9" s="16"/>
      <c r="I9" s="16">
        <f t="shared" si="1"/>
        <v>0</v>
      </c>
      <c r="J9" s="16"/>
      <c r="K9" s="16">
        <f t="shared" si="2"/>
        <v>0</v>
      </c>
      <c r="L9" s="16"/>
      <c r="M9" s="16">
        <f t="shared" si="3"/>
        <v>0</v>
      </c>
      <c r="N9" s="16"/>
      <c r="O9" s="17">
        <f t="shared" si="4"/>
        <v>0</v>
      </c>
      <c r="P9" s="16"/>
      <c r="Q9" s="17">
        <f t="shared" si="5"/>
        <v>0</v>
      </c>
      <c r="R9" s="16"/>
      <c r="S9" s="17">
        <f t="shared" si="6"/>
        <v>0</v>
      </c>
      <c r="T9" s="18">
        <f t="shared" si="7"/>
        <v>1.1501568000000004E-25</v>
      </c>
      <c r="U9" s="19">
        <f t="shared" si="8"/>
        <v>0</v>
      </c>
      <c r="V9" s="20">
        <f t="shared" si="9"/>
        <v>1.0649600000000003E-25</v>
      </c>
      <c r="W9" s="20">
        <f t="shared" si="10"/>
        <v>0</v>
      </c>
      <c r="X9" s="16"/>
      <c r="Y9" s="16"/>
      <c r="Z9" s="16"/>
      <c r="AA9" s="16"/>
      <c r="AB9" s="16"/>
      <c r="AC9" s="16"/>
      <c r="AD9" s="16"/>
      <c r="AE9" s="16"/>
      <c r="AF9" s="16"/>
      <c r="AG9" s="21"/>
    </row>
    <row r="10" spans="1:33">
      <c r="A10" s="15"/>
      <c r="B10" s="16"/>
      <c r="C10" s="16"/>
      <c r="D10" s="16"/>
      <c r="E10" s="16">
        <f t="shared" si="0"/>
        <v>0</v>
      </c>
      <c r="F10" s="16"/>
      <c r="G10" s="16">
        <f t="shared" si="11"/>
        <v>0</v>
      </c>
      <c r="H10" s="16"/>
      <c r="I10" s="16">
        <f t="shared" si="1"/>
        <v>0</v>
      </c>
      <c r="J10" s="16"/>
      <c r="K10" s="16">
        <f t="shared" si="2"/>
        <v>0</v>
      </c>
      <c r="L10" s="16"/>
      <c r="M10" s="16">
        <f t="shared" si="3"/>
        <v>0</v>
      </c>
      <c r="N10" s="16"/>
      <c r="O10" s="17">
        <f t="shared" si="4"/>
        <v>0</v>
      </c>
      <c r="P10" s="16"/>
      <c r="Q10" s="17">
        <f t="shared" si="5"/>
        <v>0</v>
      </c>
      <c r="R10" s="16"/>
      <c r="S10" s="17">
        <f t="shared" si="6"/>
        <v>0</v>
      </c>
      <c r="T10" s="18">
        <f t="shared" si="7"/>
        <v>1.1501568000000004E-25</v>
      </c>
      <c r="U10" s="19">
        <f t="shared" si="8"/>
        <v>0</v>
      </c>
      <c r="V10" s="20">
        <f t="shared" si="9"/>
        <v>1.0649600000000003E-25</v>
      </c>
      <c r="W10" s="20">
        <f t="shared" si="10"/>
        <v>0</v>
      </c>
      <c r="X10" s="16"/>
      <c r="Y10" s="16"/>
      <c r="Z10" s="16"/>
      <c r="AA10" s="16"/>
      <c r="AB10" s="16"/>
      <c r="AC10" s="16"/>
      <c r="AD10" s="16"/>
      <c r="AE10" s="16"/>
      <c r="AF10" s="16"/>
      <c r="AG10" s="21"/>
    </row>
    <row r="11" spans="1:33">
      <c r="A11" s="15"/>
      <c r="B11" s="16"/>
      <c r="C11" s="16"/>
      <c r="D11" s="16"/>
      <c r="E11" s="16">
        <f t="shared" si="0"/>
        <v>0</v>
      </c>
      <c r="F11" s="16"/>
      <c r="G11" s="16">
        <f t="shared" si="11"/>
        <v>0</v>
      </c>
      <c r="H11" s="16"/>
      <c r="I11" s="16">
        <f t="shared" si="1"/>
        <v>0</v>
      </c>
      <c r="J11" s="16"/>
      <c r="K11" s="16">
        <f t="shared" si="2"/>
        <v>0</v>
      </c>
      <c r="L11" s="16"/>
      <c r="M11" s="16">
        <f t="shared" si="3"/>
        <v>0</v>
      </c>
      <c r="N11" s="16"/>
      <c r="O11" s="17">
        <f t="shared" si="4"/>
        <v>0</v>
      </c>
      <c r="P11" s="16"/>
      <c r="Q11" s="17">
        <f t="shared" si="5"/>
        <v>0</v>
      </c>
      <c r="R11" s="16"/>
      <c r="S11" s="17">
        <f t="shared" si="6"/>
        <v>0</v>
      </c>
      <c r="T11" s="18">
        <f t="shared" si="7"/>
        <v>1.1501568000000004E-25</v>
      </c>
      <c r="U11" s="19">
        <f t="shared" si="8"/>
        <v>0</v>
      </c>
      <c r="V11" s="20">
        <f t="shared" si="9"/>
        <v>1.0649600000000003E-25</v>
      </c>
      <c r="W11" s="20">
        <f t="shared" si="10"/>
        <v>0</v>
      </c>
      <c r="X11" s="16"/>
      <c r="Y11" s="16"/>
      <c r="Z11" s="16"/>
      <c r="AA11" s="16"/>
      <c r="AB11" s="16"/>
      <c r="AC11" s="16"/>
      <c r="AD11" s="16"/>
      <c r="AE11" s="16"/>
      <c r="AF11" s="16"/>
      <c r="AG11" s="21"/>
    </row>
    <row r="12" spans="1:33">
      <c r="A12" s="15"/>
      <c r="B12" s="16"/>
      <c r="C12" s="16"/>
      <c r="D12" s="16"/>
      <c r="E12" s="16">
        <f t="shared" si="0"/>
        <v>0</v>
      </c>
      <c r="F12" s="16"/>
      <c r="G12" s="16">
        <f t="shared" si="11"/>
        <v>0</v>
      </c>
      <c r="H12" s="16"/>
      <c r="I12" s="16">
        <f t="shared" si="1"/>
        <v>0</v>
      </c>
      <c r="J12" s="16"/>
      <c r="K12" s="16">
        <f t="shared" si="2"/>
        <v>0</v>
      </c>
      <c r="L12" s="16"/>
      <c r="M12" s="16">
        <f t="shared" si="3"/>
        <v>0</v>
      </c>
      <c r="N12" s="16"/>
      <c r="O12" s="17">
        <f t="shared" si="4"/>
        <v>0</v>
      </c>
      <c r="P12" s="16"/>
      <c r="Q12" s="17">
        <f t="shared" si="5"/>
        <v>0</v>
      </c>
      <c r="R12" s="16"/>
      <c r="S12" s="17">
        <f t="shared" si="6"/>
        <v>0</v>
      </c>
      <c r="T12" s="18">
        <f t="shared" si="7"/>
        <v>1.1501568000000004E-25</v>
      </c>
      <c r="U12" s="19">
        <f t="shared" si="8"/>
        <v>0</v>
      </c>
      <c r="V12" s="20">
        <f t="shared" si="9"/>
        <v>1.0649600000000003E-25</v>
      </c>
      <c r="W12" s="20">
        <f t="shared" si="10"/>
        <v>0</v>
      </c>
      <c r="X12" s="16"/>
      <c r="Y12" s="16"/>
      <c r="Z12" s="16"/>
      <c r="AA12" s="16"/>
      <c r="AB12" s="16"/>
      <c r="AC12" s="16"/>
      <c r="AD12" s="16"/>
      <c r="AE12" s="16"/>
      <c r="AF12" s="16"/>
      <c r="AG12" s="21"/>
    </row>
    <row r="13" spans="1:33">
      <c r="A13" s="15"/>
      <c r="B13" s="16"/>
      <c r="C13" s="16"/>
      <c r="D13" s="16"/>
      <c r="E13" s="16">
        <f t="shared" si="0"/>
        <v>0</v>
      </c>
      <c r="F13" s="16"/>
      <c r="G13" s="16">
        <f t="shared" si="11"/>
        <v>0</v>
      </c>
      <c r="H13" s="16"/>
      <c r="I13" s="16">
        <f t="shared" si="1"/>
        <v>0</v>
      </c>
      <c r="J13" s="16"/>
      <c r="K13" s="16">
        <f t="shared" si="2"/>
        <v>0</v>
      </c>
      <c r="L13" s="16"/>
      <c r="M13" s="16">
        <f t="shared" si="3"/>
        <v>0</v>
      </c>
      <c r="N13" s="16"/>
      <c r="O13" s="17">
        <f t="shared" si="4"/>
        <v>0</v>
      </c>
      <c r="P13" s="16"/>
      <c r="Q13" s="17">
        <f t="shared" si="5"/>
        <v>0</v>
      </c>
      <c r="R13" s="16"/>
      <c r="S13" s="17">
        <f t="shared" si="6"/>
        <v>0</v>
      </c>
      <c r="T13" s="18">
        <f t="shared" si="7"/>
        <v>1.1501568000000004E-25</v>
      </c>
      <c r="U13" s="19">
        <f t="shared" si="8"/>
        <v>0</v>
      </c>
      <c r="V13" s="20">
        <f t="shared" si="9"/>
        <v>1.0649600000000003E-25</v>
      </c>
      <c r="W13" s="20">
        <f t="shared" si="10"/>
        <v>0</v>
      </c>
      <c r="X13" s="16"/>
      <c r="Y13" s="16"/>
      <c r="Z13" s="16"/>
      <c r="AA13" s="16"/>
      <c r="AB13" s="16"/>
      <c r="AC13" s="16"/>
      <c r="AD13" s="16"/>
      <c r="AE13" s="16"/>
      <c r="AF13" s="16"/>
      <c r="AG13" s="21"/>
    </row>
    <row r="14" spans="1:33">
      <c r="A14" s="15"/>
      <c r="B14" s="16"/>
      <c r="C14" s="16"/>
      <c r="D14" s="16"/>
      <c r="E14" s="16">
        <f t="shared" si="0"/>
        <v>0</v>
      </c>
      <c r="F14" s="16"/>
      <c r="G14" s="16">
        <f t="shared" si="11"/>
        <v>0</v>
      </c>
      <c r="H14" s="16"/>
      <c r="I14" s="16">
        <f t="shared" si="1"/>
        <v>0</v>
      </c>
      <c r="J14" s="16"/>
      <c r="K14" s="16">
        <f t="shared" si="2"/>
        <v>0</v>
      </c>
      <c r="L14" s="16"/>
      <c r="M14" s="16">
        <f t="shared" si="3"/>
        <v>0</v>
      </c>
      <c r="N14" s="16"/>
      <c r="O14" s="17">
        <f t="shared" si="4"/>
        <v>0</v>
      </c>
      <c r="P14" s="16"/>
      <c r="Q14" s="17">
        <f t="shared" si="5"/>
        <v>0</v>
      </c>
      <c r="R14" s="16"/>
      <c r="S14" s="17">
        <f t="shared" si="6"/>
        <v>0</v>
      </c>
      <c r="T14" s="18">
        <f t="shared" si="7"/>
        <v>1.1501568000000004E-25</v>
      </c>
      <c r="U14" s="19">
        <f t="shared" si="8"/>
        <v>0</v>
      </c>
      <c r="V14" s="20">
        <f t="shared" si="9"/>
        <v>1.0649600000000003E-25</v>
      </c>
      <c r="W14" s="20">
        <f t="shared" si="10"/>
        <v>0</v>
      </c>
      <c r="X14" s="16"/>
      <c r="Y14" s="16"/>
      <c r="Z14" s="16"/>
      <c r="AA14" s="16"/>
      <c r="AB14" s="16"/>
      <c r="AC14" s="16"/>
      <c r="AD14" s="16"/>
      <c r="AE14" s="16"/>
      <c r="AF14" s="16"/>
      <c r="AG14" s="21"/>
    </row>
    <row r="15" spans="1:33">
      <c r="A15" s="15"/>
      <c r="B15" s="16"/>
      <c r="C15" s="16"/>
      <c r="D15" s="16"/>
      <c r="E15" s="16">
        <f t="shared" si="0"/>
        <v>0</v>
      </c>
      <c r="F15" s="16"/>
      <c r="G15" s="16">
        <f t="shared" si="11"/>
        <v>0</v>
      </c>
      <c r="H15" s="16"/>
      <c r="I15" s="16">
        <f t="shared" si="1"/>
        <v>0</v>
      </c>
      <c r="J15" s="16"/>
      <c r="K15" s="16">
        <f t="shared" si="2"/>
        <v>0</v>
      </c>
      <c r="L15" s="16"/>
      <c r="M15" s="16">
        <f t="shared" si="3"/>
        <v>0</v>
      </c>
      <c r="N15" s="16"/>
      <c r="O15" s="17">
        <f t="shared" si="4"/>
        <v>0</v>
      </c>
      <c r="P15" s="16"/>
      <c r="Q15" s="17">
        <f t="shared" si="5"/>
        <v>0</v>
      </c>
      <c r="R15" s="16"/>
      <c r="S15" s="17">
        <f t="shared" si="6"/>
        <v>0</v>
      </c>
      <c r="T15" s="18">
        <f t="shared" si="7"/>
        <v>1.1501568000000004E-25</v>
      </c>
      <c r="U15" s="19">
        <f t="shared" si="8"/>
        <v>0</v>
      </c>
      <c r="V15" s="20">
        <f t="shared" si="9"/>
        <v>1.0649600000000003E-25</v>
      </c>
      <c r="W15" s="20">
        <f t="shared" si="10"/>
        <v>0</v>
      </c>
      <c r="X15" s="16"/>
      <c r="Y15" s="16"/>
      <c r="Z15" s="16"/>
      <c r="AA15" s="16"/>
      <c r="AB15" s="16"/>
      <c r="AC15" s="16"/>
      <c r="AD15" s="16"/>
      <c r="AE15" s="16"/>
      <c r="AF15" s="16"/>
      <c r="AG15" s="21"/>
    </row>
    <row r="16" spans="1:33">
      <c r="A16" s="15"/>
      <c r="B16" s="16"/>
      <c r="C16" s="16"/>
      <c r="D16" s="16"/>
      <c r="E16" s="16">
        <f t="shared" si="0"/>
        <v>0</v>
      </c>
      <c r="F16" s="16"/>
      <c r="G16" s="16">
        <f t="shared" si="11"/>
        <v>0</v>
      </c>
      <c r="H16" s="16"/>
      <c r="I16" s="16">
        <f t="shared" si="1"/>
        <v>0</v>
      </c>
      <c r="J16" s="16"/>
      <c r="K16" s="16">
        <f t="shared" si="2"/>
        <v>0</v>
      </c>
      <c r="L16" s="16"/>
      <c r="M16" s="16">
        <f t="shared" si="3"/>
        <v>0</v>
      </c>
      <c r="N16" s="16"/>
      <c r="O16" s="17">
        <f t="shared" si="4"/>
        <v>0</v>
      </c>
      <c r="P16" s="16"/>
      <c r="Q16" s="17">
        <f t="shared" si="5"/>
        <v>0</v>
      </c>
      <c r="R16" s="16"/>
      <c r="S16" s="17">
        <f t="shared" si="6"/>
        <v>0</v>
      </c>
      <c r="T16" s="18">
        <f t="shared" si="7"/>
        <v>1.1501568000000004E-25</v>
      </c>
      <c r="U16" s="19">
        <f t="shared" si="8"/>
        <v>0</v>
      </c>
      <c r="V16" s="20">
        <f t="shared" si="9"/>
        <v>1.0649600000000003E-25</v>
      </c>
      <c r="W16" s="20">
        <f t="shared" si="10"/>
        <v>0</v>
      </c>
      <c r="X16" s="16"/>
      <c r="Y16" s="16"/>
      <c r="Z16" s="16"/>
      <c r="AA16" s="16"/>
      <c r="AB16" s="16"/>
      <c r="AC16" s="16"/>
      <c r="AD16" s="16"/>
      <c r="AE16" s="16"/>
      <c r="AF16" s="16"/>
      <c r="AG16" s="21"/>
    </row>
    <row r="17" spans="1:33">
      <c r="A17" s="15"/>
      <c r="B17" s="16"/>
      <c r="C17" s="16"/>
      <c r="D17" s="16"/>
      <c r="E17" s="16">
        <f t="shared" si="0"/>
        <v>0</v>
      </c>
      <c r="F17" s="16"/>
      <c r="G17" s="16">
        <f t="shared" si="11"/>
        <v>0</v>
      </c>
      <c r="H17" s="16"/>
      <c r="I17" s="16">
        <f t="shared" si="1"/>
        <v>0</v>
      </c>
      <c r="J17" s="16"/>
      <c r="K17" s="16">
        <f t="shared" si="2"/>
        <v>0</v>
      </c>
      <c r="L17" s="16"/>
      <c r="M17" s="16">
        <f t="shared" si="3"/>
        <v>0</v>
      </c>
      <c r="N17" s="16"/>
      <c r="O17" s="17">
        <f t="shared" si="4"/>
        <v>0</v>
      </c>
      <c r="P17" s="16"/>
      <c r="Q17" s="17">
        <f t="shared" si="5"/>
        <v>0</v>
      </c>
      <c r="R17" s="16"/>
      <c r="S17" s="17">
        <f t="shared" si="6"/>
        <v>0</v>
      </c>
      <c r="T17" s="18">
        <f t="shared" si="7"/>
        <v>1.1501568000000004E-25</v>
      </c>
      <c r="U17" s="19">
        <f t="shared" si="8"/>
        <v>0</v>
      </c>
      <c r="V17" s="20">
        <f t="shared" si="9"/>
        <v>1.0649600000000003E-25</v>
      </c>
      <c r="W17" s="20">
        <f t="shared" si="10"/>
        <v>0</v>
      </c>
      <c r="X17" s="16"/>
      <c r="Y17" s="16"/>
      <c r="Z17" s="16"/>
      <c r="AA17" s="16"/>
      <c r="AB17" s="16"/>
      <c r="AC17" s="16"/>
      <c r="AD17" s="16"/>
      <c r="AE17" s="16"/>
      <c r="AF17" s="16"/>
      <c r="AG17" s="21"/>
    </row>
    <row r="18" spans="1:33">
      <c r="A18" s="15"/>
      <c r="B18" s="16"/>
      <c r="C18" s="16"/>
      <c r="D18" s="16"/>
      <c r="E18" s="16">
        <f t="shared" si="0"/>
        <v>0</v>
      </c>
      <c r="F18" s="16"/>
      <c r="G18" s="16">
        <f t="shared" si="11"/>
        <v>0</v>
      </c>
      <c r="H18" s="16"/>
      <c r="I18" s="16">
        <f t="shared" si="1"/>
        <v>0</v>
      </c>
      <c r="J18" s="16"/>
      <c r="K18" s="16">
        <f t="shared" si="2"/>
        <v>0</v>
      </c>
      <c r="L18" s="16"/>
      <c r="M18" s="16">
        <f t="shared" si="3"/>
        <v>0</v>
      </c>
      <c r="N18" s="16"/>
      <c r="O18" s="17">
        <f t="shared" si="4"/>
        <v>0</v>
      </c>
      <c r="P18" s="16"/>
      <c r="Q18" s="17">
        <f t="shared" si="5"/>
        <v>0</v>
      </c>
      <c r="R18" s="16"/>
      <c r="S18" s="17">
        <f t="shared" si="6"/>
        <v>0</v>
      </c>
      <c r="T18" s="18">
        <f t="shared" si="7"/>
        <v>1.1501568000000004E-25</v>
      </c>
      <c r="U18" s="19">
        <f t="shared" si="8"/>
        <v>0</v>
      </c>
      <c r="V18" s="20">
        <f t="shared" si="9"/>
        <v>1.0649600000000003E-25</v>
      </c>
      <c r="W18" s="20">
        <f t="shared" si="10"/>
        <v>0</v>
      </c>
      <c r="X18" s="16"/>
      <c r="Y18" s="16"/>
      <c r="Z18" s="16"/>
      <c r="AA18" s="16"/>
      <c r="AB18" s="16"/>
      <c r="AC18" s="16"/>
      <c r="AD18" s="16"/>
      <c r="AE18" s="16"/>
      <c r="AF18" s="16"/>
      <c r="AG18" s="21"/>
    </row>
    <row r="19" spans="1:33">
      <c r="A19" s="15"/>
      <c r="B19" s="16"/>
      <c r="C19" s="16"/>
      <c r="D19" s="16"/>
      <c r="E19" s="16">
        <f t="shared" si="0"/>
        <v>0</v>
      </c>
      <c r="F19" s="16"/>
      <c r="G19" s="16">
        <f t="shared" si="11"/>
        <v>0</v>
      </c>
      <c r="H19" s="16"/>
      <c r="I19" s="16">
        <f t="shared" si="1"/>
        <v>0</v>
      </c>
      <c r="J19" s="16"/>
      <c r="K19" s="16">
        <f t="shared" si="2"/>
        <v>0</v>
      </c>
      <c r="L19" s="16"/>
      <c r="M19" s="16">
        <f t="shared" si="3"/>
        <v>0</v>
      </c>
      <c r="N19" s="16"/>
      <c r="O19" s="17">
        <f t="shared" si="4"/>
        <v>0</v>
      </c>
      <c r="P19" s="16"/>
      <c r="Q19" s="17">
        <f t="shared" si="5"/>
        <v>0</v>
      </c>
      <c r="R19" s="16"/>
      <c r="S19" s="17">
        <f t="shared" si="6"/>
        <v>0</v>
      </c>
      <c r="T19" s="18">
        <f t="shared" si="7"/>
        <v>1.1501568000000004E-25</v>
      </c>
      <c r="U19" s="19">
        <f t="shared" si="8"/>
        <v>0</v>
      </c>
      <c r="V19" s="20">
        <f t="shared" si="9"/>
        <v>1.0649600000000003E-25</v>
      </c>
      <c r="W19" s="20">
        <f t="shared" si="10"/>
        <v>0</v>
      </c>
      <c r="X19" s="16"/>
      <c r="Y19" s="16"/>
      <c r="Z19" s="16"/>
      <c r="AA19" s="16"/>
      <c r="AB19" s="16"/>
      <c r="AC19" s="16"/>
      <c r="AD19" s="16"/>
      <c r="AE19" s="16"/>
      <c r="AF19" s="16"/>
      <c r="AG19" s="21"/>
    </row>
    <row r="20" spans="1:33">
      <c r="A20" s="15"/>
      <c r="B20" s="16"/>
      <c r="C20" s="16"/>
      <c r="D20" s="16"/>
      <c r="E20" s="16">
        <f t="shared" si="0"/>
        <v>0</v>
      </c>
      <c r="F20" s="16"/>
      <c r="G20" s="16">
        <f t="shared" si="11"/>
        <v>0</v>
      </c>
      <c r="H20" s="16"/>
      <c r="I20" s="16">
        <f t="shared" si="1"/>
        <v>0</v>
      </c>
      <c r="J20" s="16"/>
      <c r="K20" s="16">
        <f t="shared" si="2"/>
        <v>0</v>
      </c>
      <c r="L20" s="16"/>
      <c r="M20" s="16">
        <f t="shared" si="3"/>
        <v>0</v>
      </c>
      <c r="N20" s="16"/>
      <c r="O20" s="17">
        <f t="shared" si="4"/>
        <v>0</v>
      </c>
      <c r="P20" s="16"/>
      <c r="Q20" s="17">
        <f t="shared" si="5"/>
        <v>0</v>
      </c>
      <c r="R20" s="16"/>
      <c r="S20" s="17">
        <f t="shared" si="6"/>
        <v>0</v>
      </c>
      <c r="T20" s="18">
        <f t="shared" si="7"/>
        <v>1.1501568000000004E-25</v>
      </c>
      <c r="U20" s="19">
        <f t="shared" si="8"/>
        <v>0</v>
      </c>
      <c r="V20" s="20">
        <f t="shared" si="9"/>
        <v>1.0649600000000003E-25</v>
      </c>
      <c r="W20" s="20">
        <f t="shared" si="10"/>
        <v>0</v>
      </c>
      <c r="X20" s="16"/>
      <c r="Y20" s="16"/>
      <c r="Z20" s="16"/>
      <c r="AA20" s="16"/>
      <c r="AB20" s="16"/>
      <c r="AC20" s="16"/>
      <c r="AD20" s="16"/>
      <c r="AE20" s="16"/>
      <c r="AF20" s="16"/>
      <c r="AG20" s="21"/>
    </row>
    <row r="21" spans="1:33">
      <c r="A21" s="15"/>
      <c r="B21" s="16"/>
      <c r="C21" s="16"/>
      <c r="D21" s="16"/>
      <c r="E21" s="16">
        <f t="shared" si="0"/>
        <v>0</v>
      </c>
      <c r="F21" s="16"/>
      <c r="G21" s="16">
        <f t="shared" si="11"/>
        <v>0</v>
      </c>
      <c r="H21" s="16"/>
      <c r="I21" s="16">
        <f t="shared" si="1"/>
        <v>0</v>
      </c>
      <c r="J21" s="16"/>
      <c r="K21" s="16">
        <f t="shared" si="2"/>
        <v>0</v>
      </c>
      <c r="L21" s="16"/>
      <c r="M21" s="16">
        <f t="shared" si="3"/>
        <v>0</v>
      </c>
      <c r="N21" s="16"/>
      <c r="O21" s="17">
        <f t="shared" si="4"/>
        <v>0</v>
      </c>
      <c r="P21" s="16"/>
      <c r="Q21" s="17">
        <f t="shared" si="5"/>
        <v>0</v>
      </c>
      <c r="R21" s="16"/>
      <c r="S21" s="17">
        <f t="shared" si="6"/>
        <v>0</v>
      </c>
      <c r="T21" s="18">
        <f t="shared" si="7"/>
        <v>1.1501568000000004E-25</v>
      </c>
      <c r="U21" s="19">
        <f t="shared" si="8"/>
        <v>0</v>
      </c>
      <c r="V21" s="20">
        <f t="shared" si="9"/>
        <v>1.0649600000000003E-25</v>
      </c>
      <c r="W21" s="20">
        <f t="shared" si="10"/>
        <v>0</v>
      </c>
      <c r="X21" s="16"/>
      <c r="Y21" s="16"/>
      <c r="Z21" s="16"/>
      <c r="AA21" s="16"/>
      <c r="AB21" s="16"/>
      <c r="AC21" s="16"/>
      <c r="AD21" s="16"/>
      <c r="AE21" s="16"/>
      <c r="AF21" s="16"/>
      <c r="AG21" s="21"/>
    </row>
    <row r="22" spans="1:33">
      <c r="A22" s="15"/>
      <c r="B22" s="16"/>
      <c r="C22" s="16"/>
      <c r="D22" s="16"/>
      <c r="E22" s="16">
        <f t="shared" si="0"/>
        <v>0</v>
      </c>
      <c r="F22" s="16"/>
      <c r="G22" s="16">
        <f t="shared" si="11"/>
        <v>0</v>
      </c>
      <c r="H22" s="16"/>
      <c r="I22" s="16">
        <f t="shared" si="1"/>
        <v>0</v>
      </c>
      <c r="J22" s="16"/>
      <c r="K22" s="16">
        <f t="shared" si="2"/>
        <v>0</v>
      </c>
      <c r="L22" s="16"/>
      <c r="M22" s="16">
        <f t="shared" si="3"/>
        <v>0</v>
      </c>
      <c r="N22" s="16"/>
      <c r="O22" s="17">
        <f t="shared" si="4"/>
        <v>0</v>
      </c>
      <c r="P22" s="16"/>
      <c r="Q22" s="17">
        <f t="shared" si="5"/>
        <v>0</v>
      </c>
      <c r="R22" s="16"/>
      <c r="S22" s="17">
        <f t="shared" si="6"/>
        <v>0</v>
      </c>
      <c r="T22" s="18">
        <f t="shared" si="7"/>
        <v>1.1501568000000004E-25</v>
      </c>
      <c r="U22" s="19">
        <f t="shared" si="8"/>
        <v>0</v>
      </c>
      <c r="V22" s="20">
        <f t="shared" si="9"/>
        <v>1.0649600000000003E-25</v>
      </c>
      <c r="W22" s="20">
        <f t="shared" si="10"/>
        <v>0</v>
      </c>
      <c r="X22" s="16"/>
      <c r="Y22" s="16"/>
      <c r="Z22" s="16"/>
      <c r="AA22" s="16"/>
      <c r="AB22" s="16"/>
      <c r="AC22" s="16"/>
      <c r="AD22" s="16"/>
      <c r="AE22" s="16"/>
      <c r="AF22" s="16"/>
      <c r="AG22" s="21"/>
    </row>
    <row r="23" spans="1:33">
      <c r="A23" s="15"/>
      <c r="B23" s="16"/>
      <c r="C23" s="16"/>
      <c r="D23" s="16"/>
      <c r="E23" s="16">
        <f t="shared" si="0"/>
        <v>0</v>
      </c>
      <c r="F23" s="16"/>
      <c r="G23" s="16">
        <f t="shared" si="11"/>
        <v>0</v>
      </c>
      <c r="H23" s="16"/>
      <c r="I23" s="16">
        <f t="shared" si="1"/>
        <v>0</v>
      </c>
      <c r="J23" s="16"/>
      <c r="K23" s="16">
        <f t="shared" si="2"/>
        <v>0</v>
      </c>
      <c r="L23" s="16"/>
      <c r="M23" s="16">
        <f t="shared" si="3"/>
        <v>0</v>
      </c>
      <c r="N23" s="16"/>
      <c r="O23" s="17">
        <f t="shared" si="4"/>
        <v>0</v>
      </c>
      <c r="P23" s="16"/>
      <c r="Q23" s="17">
        <f t="shared" si="5"/>
        <v>0</v>
      </c>
      <c r="R23" s="16"/>
      <c r="S23" s="17">
        <f t="shared" si="6"/>
        <v>0</v>
      </c>
      <c r="T23" s="18">
        <f t="shared" si="7"/>
        <v>1.1501568000000004E-25</v>
      </c>
      <c r="U23" s="19">
        <f t="shared" si="8"/>
        <v>0</v>
      </c>
      <c r="V23" s="20">
        <f t="shared" si="9"/>
        <v>1.0649600000000003E-25</v>
      </c>
      <c r="W23" s="20">
        <f t="shared" si="10"/>
        <v>0</v>
      </c>
      <c r="X23" s="16"/>
      <c r="Y23" s="16"/>
      <c r="Z23" s="16"/>
      <c r="AA23" s="16"/>
      <c r="AB23" s="16"/>
      <c r="AC23" s="16"/>
      <c r="AD23" s="16"/>
      <c r="AE23" s="16"/>
      <c r="AF23" s="16"/>
      <c r="AG23" s="21"/>
    </row>
    <row r="24" spans="1:33">
      <c r="A24" s="15"/>
      <c r="B24" s="16"/>
      <c r="C24" s="16"/>
      <c r="D24" s="16"/>
      <c r="E24" s="16">
        <f t="shared" si="0"/>
        <v>0</v>
      </c>
      <c r="F24" s="16"/>
      <c r="G24" s="16">
        <f t="shared" si="11"/>
        <v>0</v>
      </c>
      <c r="H24" s="16"/>
      <c r="I24" s="16">
        <f t="shared" si="1"/>
        <v>0</v>
      </c>
      <c r="J24" s="16"/>
      <c r="K24" s="16">
        <f t="shared" si="2"/>
        <v>0</v>
      </c>
      <c r="L24" s="16"/>
      <c r="M24" s="16">
        <f t="shared" si="3"/>
        <v>0</v>
      </c>
      <c r="N24" s="16"/>
      <c r="O24" s="17">
        <f t="shared" si="4"/>
        <v>0</v>
      </c>
      <c r="P24" s="16"/>
      <c r="Q24" s="17">
        <f t="shared" si="5"/>
        <v>0</v>
      </c>
      <c r="R24" s="16"/>
      <c r="S24" s="17">
        <f t="shared" si="6"/>
        <v>0</v>
      </c>
      <c r="T24" s="18">
        <f t="shared" si="7"/>
        <v>1.1501568000000004E-25</v>
      </c>
      <c r="U24" s="19">
        <f t="shared" si="8"/>
        <v>0</v>
      </c>
      <c r="V24" s="20">
        <f t="shared" si="9"/>
        <v>1.0649600000000003E-25</v>
      </c>
      <c r="W24" s="20">
        <f t="shared" si="10"/>
        <v>0</v>
      </c>
      <c r="X24" s="16"/>
      <c r="Y24" s="16"/>
      <c r="Z24" s="16"/>
      <c r="AA24" s="16"/>
      <c r="AB24" s="16"/>
      <c r="AC24" s="16"/>
      <c r="AD24" s="16"/>
      <c r="AE24" s="16"/>
      <c r="AF24" s="16"/>
      <c r="AG24" s="21"/>
    </row>
    <row r="25" spans="1:33">
      <c r="A25" s="15"/>
      <c r="B25" s="16"/>
      <c r="C25" s="16"/>
      <c r="D25" s="16"/>
      <c r="E25" s="16">
        <f t="shared" si="0"/>
        <v>0</v>
      </c>
      <c r="F25" s="16"/>
      <c r="G25" s="16">
        <f t="shared" si="11"/>
        <v>0</v>
      </c>
      <c r="H25" s="16"/>
      <c r="I25" s="16">
        <f t="shared" si="1"/>
        <v>0</v>
      </c>
      <c r="J25" s="16"/>
      <c r="K25" s="16">
        <f t="shared" si="2"/>
        <v>0</v>
      </c>
      <c r="L25" s="16"/>
      <c r="M25" s="16">
        <f t="shared" si="3"/>
        <v>0</v>
      </c>
      <c r="N25" s="16"/>
      <c r="O25" s="17">
        <f t="shared" si="4"/>
        <v>0</v>
      </c>
      <c r="P25" s="16"/>
      <c r="Q25" s="17">
        <f t="shared" si="5"/>
        <v>0</v>
      </c>
      <c r="R25" s="16"/>
      <c r="S25" s="17">
        <f t="shared" si="6"/>
        <v>0</v>
      </c>
      <c r="T25" s="18">
        <f t="shared" si="7"/>
        <v>1.1501568000000004E-25</v>
      </c>
      <c r="U25" s="19">
        <f t="shared" si="8"/>
        <v>0</v>
      </c>
      <c r="V25" s="20">
        <f t="shared" si="9"/>
        <v>1.0649600000000003E-25</v>
      </c>
      <c r="W25" s="20">
        <f t="shared" si="10"/>
        <v>0</v>
      </c>
      <c r="X25" s="16"/>
      <c r="Y25" s="16"/>
      <c r="Z25" s="16"/>
      <c r="AA25" s="16"/>
      <c r="AB25" s="16"/>
      <c r="AC25" s="16"/>
      <c r="AD25" s="16"/>
      <c r="AE25" s="16"/>
      <c r="AF25" s="16"/>
      <c r="AG25" s="21"/>
    </row>
    <row r="26" spans="1:33">
      <c r="A26" s="15"/>
      <c r="B26" s="16"/>
      <c r="C26" s="16"/>
      <c r="D26" s="16"/>
      <c r="E26" s="16">
        <f t="shared" si="0"/>
        <v>0</v>
      </c>
      <c r="F26" s="16"/>
      <c r="G26" s="16">
        <f t="shared" si="11"/>
        <v>0</v>
      </c>
      <c r="H26" s="16"/>
      <c r="I26" s="16">
        <f t="shared" si="1"/>
        <v>0</v>
      </c>
      <c r="J26" s="16"/>
      <c r="K26" s="16">
        <f t="shared" si="2"/>
        <v>0</v>
      </c>
      <c r="L26" s="16"/>
      <c r="M26" s="16">
        <f t="shared" si="3"/>
        <v>0</v>
      </c>
      <c r="N26" s="16"/>
      <c r="O26" s="17">
        <f t="shared" si="4"/>
        <v>0</v>
      </c>
      <c r="P26" s="16"/>
      <c r="Q26" s="17">
        <f t="shared" si="5"/>
        <v>0</v>
      </c>
      <c r="R26" s="16"/>
      <c r="S26" s="17">
        <f t="shared" si="6"/>
        <v>0</v>
      </c>
      <c r="T26" s="18">
        <f t="shared" si="7"/>
        <v>1.1501568000000004E-25</v>
      </c>
      <c r="U26" s="19">
        <f t="shared" si="8"/>
        <v>0</v>
      </c>
      <c r="V26" s="20">
        <f t="shared" si="9"/>
        <v>1.0649600000000003E-25</v>
      </c>
      <c r="W26" s="20">
        <f t="shared" si="10"/>
        <v>0</v>
      </c>
      <c r="X26" s="16"/>
      <c r="Y26" s="16"/>
      <c r="Z26" s="16"/>
      <c r="AA26" s="16"/>
      <c r="AB26" s="16"/>
      <c r="AC26" s="16"/>
      <c r="AD26" s="16"/>
      <c r="AE26" s="16"/>
      <c r="AF26" s="16"/>
      <c r="AG26" s="21"/>
    </row>
    <row r="27" spans="1:33">
      <c r="A27" s="15"/>
      <c r="B27" s="16"/>
      <c r="C27" s="16"/>
      <c r="D27" s="16"/>
      <c r="E27" s="16">
        <f t="shared" si="0"/>
        <v>0</v>
      </c>
      <c r="F27" s="16"/>
      <c r="G27" s="16">
        <f t="shared" si="11"/>
        <v>0</v>
      </c>
      <c r="H27" s="16"/>
      <c r="I27" s="16">
        <f t="shared" si="1"/>
        <v>0</v>
      </c>
      <c r="J27" s="16"/>
      <c r="K27" s="16">
        <f t="shared" si="2"/>
        <v>0</v>
      </c>
      <c r="L27" s="16"/>
      <c r="M27" s="16">
        <f t="shared" si="3"/>
        <v>0</v>
      </c>
      <c r="N27" s="16"/>
      <c r="O27" s="17">
        <f t="shared" si="4"/>
        <v>0</v>
      </c>
      <c r="P27" s="16"/>
      <c r="Q27" s="17">
        <f t="shared" si="5"/>
        <v>0</v>
      </c>
      <c r="R27" s="16"/>
      <c r="S27" s="17">
        <f t="shared" si="6"/>
        <v>0</v>
      </c>
      <c r="T27" s="18">
        <f t="shared" si="7"/>
        <v>1.1501568000000004E-25</v>
      </c>
      <c r="U27" s="19">
        <f t="shared" si="8"/>
        <v>0</v>
      </c>
      <c r="V27" s="20">
        <f t="shared" si="9"/>
        <v>1.0649600000000003E-25</v>
      </c>
      <c r="W27" s="20">
        <f t="shared" si="10"/>
        <v>0</v>
      </c>
      <c r="X27" s="16"/>
      <c r="Y27" s="16"/>
      <c r="Z27" s="16"/>
      <c r="AA27" s="16"/>
      <c r="AB27" s="16"/>
      <c r="AC27" s="16"/>
      <c r="AD27" s="16"/>
      <c r="AE27" s="16"/>
      <c r="AF27" s="16"/>
      <c r="AG27" s="21"/>
    </row>
    <row r="28" spans="1:33">
      <c r="A28" s="15"/>
      <c r="B28" s="21"/>
      <c r="C28" s="21"/>
      <c r="D28" s="21"/>
      <c r="E28" s="16">
        <f t="shared" si="0"/>
        <v>0</v>
      </c>
      <c r="F28" s="21"/>
      <c r="G28" s="16">
        <f t="shared" si="11"/>
        <v>0</v>
      </c>
      <c r="H28" s="21"/>
      <c r="I28" s="16">
        <f t="shared" si="1"/>
        <v>0</v>
      </c>
      <c r="J28" s="21"/>
      <c r="K28" s="16">
        <f t="shared" si="2"/>
        <v>0</v>
      </c>
      <c r="L28" s="21"/>
      <c r="M28" s="16">
        <f t="shared" si="3"/>
        <v>0</v>
      </c>
      <c r="N28" s="21"/>
      <c r="O28" s="17">
        <f t="shared" si="4"/>
        <v>0</v>
      </c>
      <c r="P28" s="16"/>
      <c r="Q28" s="17">
        <f t="shared" si="5"/>
        <v>0</v>
      </c>
      <c r="R28" s="16"/>
      <c r="S28" s="17">
        <f t="shared" si="6"/>
        <v>0</v>
      </c>
      <c r="T28" s="18">
        <f t="shared" si="7"/>
        <v>1.1501568000000004E-25</v>
      </c>
      <c r="U28" s="19">
        <f t="shared" si="8"/>
        <v>0</v>
      </c>
      <c r="V28" s="20">
        <f t="shared" si="9"/>
        <v>1.0649600000000003E-25</v>
      </c>
      <c r="W28" s="20">
        <f t="shared" si="10"/>
        <v>0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>
      <c r="A29" s="15"/>
      <c r="B29" s="21"/>
      <c r="C29" s="21"/>
      <c r="D29" s="21"/>
      <c r="E29" s="16">
        <f t="shared" si="0"/>
        <v>0</v>
      </c>
      <c r="F29" s="21"/>
      <c r="G29" s="16">
        <f t="shared" si="11"/>
        <v>0</v>
      </c>
      <c r="H29" s="21"/>
      <c r="I29" s="16">
        <f t="shared" si="1"/>
        <v>0</v>
      </c>
      <c r="J29" s="21"/>
      <c r="K29" s="16">
        <f t="shared" si="2"/>
        <v>0</v>
      </c>
      <c r="L29" s="21"/>
      <c r="M29" s="16">
        <f t="shared" si="3"/>
        <v>0</v>
      </c>
      <c r="N29" s="21"/>
      <c r="O29" s="17">
        <f t="shared" si="4"/>
        <v>0</v>
      </c>
      <c r="P29" s="16"/>
      <c r="Q29" s="17">
        <f t="shared" si="5"/>
        <v>0</v>
      </c>
      <c r="R29" s="16"/>
      <c r="S29" s="17">
        <f t="shared" si="6"/>
        <v>0</v>
      </c>
      <c r="T29" s="18">
        <f t="shared" si="7"/>
        <v>1.1501568000000004E-25</v>
      </c>
      <c r="U29" s="19">
        <f t="shared" si="8"/>
        <v>0</v>
      </c>
      <c r="V29" s="20">
        <f t="shared" si="9"/>
        <v>1.0649600000000003E-25</v>
      </c>
      <c r="W29" s="20">
        <f t="shared" si="10"/>
        <v>0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>
      <c r="A30" s="15"/>
      <c r="B30" s="21"/>
      <c r="C30" s="21"/>
      <c r="D30" s="21"/>
      <c r="E30" s="16">
        <f t="shared" si="0"/>
        <v>0</v>
      </c>
      <c r="F30" s="21"/>
      <c r="G30" s="16">
        <f t="shared" si="11"/>
        <v>0</v>
      </c>
      <c r="H30" s="21"/>
      <c r="I30" s="16">
        <f t="shared" si="1"/>
        <v>0</v>
      </c>
      <c r="J30" s="21"/>
      <c r="K30" s="16">
        <f t="shared" si="2"/>
        <v>0</v>
      </c>
      <c r="L30" s="21"/>
      <c r="M30" s="16">
        <f t="shared" si="3"/>
        <v>0</v>
      </c>
      <c r="N30" s="21"/>
      <c r="O30" s="17">
        <f t="shared" si="4"/>
        <v>0</v>
      </c>
      <c r="P30" s="16"/>
      <c r="Q30" s="17">
        <f t="shared" si="5"/>
        <v>0</v>
      </c>
      <c r="R30" s="16"/>
      <c r="S30" s="17">
        <f t="shared" si="6"/>
        <v>0</v>
      </c>
      <c r="T30" s="18">
        <f t="shared" si="7"/>
        <v>1.1501568000000004E-25</v>
      </c>
      <c r="U30" s="19">
        <f t="shared" si="8"/>
        <v>0</v>
      </c>
      <c r="V30" s="20">
        <f t="shared" si="9"/>
        <v>1.0649600000000003E-25</v>
      </c>
      <c r="W30" s="20">
        <f t="shared" si="10"/>
        <v>0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>
      <c r="A31" s="21"/>
      <c r="B31" s="21"/>
      <c r="C31" s="21"/>
      <c r="D31" s="21"/>
      <c r="E31" s="16"/>
      <c r="F31" s="21"/>
      <c r="G31" s="16"/>
      <c r="H31" s="21"/>
      <c r="I31" s="16"/>
      <c r="J31" s="21"/>
      <c r="K31" s="16"/>
      <c r="L31" s="21"/>
      <c r="M31" s="16"/>
      <c r="N31" s="21"/>
      <c r="O31" s="17"/>
      <c r="P31" s="16"/>
      <c r="Q31" s="17"/>
      <c r="R31" s="16"/>
      <c r="S31" s="17"/>
      <c r="T31" s="18"/>
      <c r="U31" s="19"/>
      <c r="V31" s="20"/>
      <c r="W31" s="20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>
      <c r="A32" s="21"/>
      <c r="B32" s="21"/>
      <c r="C32" s="21"/>
      <c r="D32" s="21"/>
      <c r="E32" s="16"/>
      <c r="F32" s="21"/>
      <c r="G32" s="16"/>
      <c r="H32" s="21"/>
      <c r="I32" s="16"/>
      <c r="J32" s="21"/>
      <c r="K32" s="16"/>
      <c r="L32" s="21"/>
      <c r="M32" s="16"/>
      <c r="N32" s="21"/>
      <c r="O32" s="17"/>
      <c r="P32" s="16"/>
      <c r="Q32" s="17"/>
      <c r="R32" s="16"/>
      <c r="S32" s="17"/>
      <c r="T32" s="18"/>
      <c r="U32" s="19"/>
      <c r="V32" s="20"/>
      <c r="W32" s="20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33">
      <c r="A33" s="21"/>
      <c r="B33" s="21"/>
      <c r="C33" s="21"/>
      <c r="D33" s="21"/>
      <c r="E33" s="16"/>
      <c r="F33" s="21"/>
      <c r="G33" s="16"/>
      <c r="H33" s="21"/>
      <c r="I33" s="16"/>
      <c r="J33" s="21"/>
      <c r="K33" s="16"/>
      <c r="L33" s="21"/>
      <c r="M33" s="16"/>
      <c r="N33" s="21"/>
      <c r="O33" s="17"/>
      <c r="P33" s="16"/>
      <c r="Q33" s="17"/>
      <c r="R33" s="16"/>
      <c r="S33" s="17"/>
      <c r="T33" s="18"/>
      <c r="U33" s="19"/>
      <c r="V33" s="20"/>
      <c r="W33" s="20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>
      <c r="A34" s="21"/>
      <c r="B34" s="21"/>
      <c r="C34" s="21"/>
      <c r="D34" s="21"/>
      <c r="E34" s="16"/>
      <c r="F34" s="21"/>
      <c r="G34" s="16"/>
      <c r="H34" s="21"/>
      <c r="I34" s="16"/>
      <c r="J34" s="21"/>
      <c r="K34" s="16"/>
      <c r="L34" s="21"/>
      <c r="M34" s="16"/>
      <c r="N34" s="21"/>
      <c r="O34" s="17"/>
      <c r="P34" s="16"/>
      <c r="Q34" s="17"/>
      <c r="R34" s="16"/>
      <c r="S34" s="17"/>
      <c r="T34" s="18"/>
      <c r="U34" s="19"/>
      <c r="V34" s="20"/>
      <c r="W34" s="20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pans="1:33">
      <c r="E35" s="3"/>
      <c r="G35" s="3"/>
      <c r="I35" s="3"/>
      <c r="K35" s="3"/>
      <c r="M35" s="3"/>
      <c r="O35" s="22"/>
      <c r="P35" s="3"/>
      <c r="Q35" s="22"/>
      <c r="R35" s="3"/>
      <c r="S35" s="22"/>
      <c r="T35" s="18"/>
      <c r="U35" s="19"/>
      <c r="V35" s="20"/>
      <c r="W35" s="20"/>
    </row>
    <row r="36" spans="1:33">
      <c r="E36" s="3"/>
      <c r="G36" s="3"/>
      <c r="I36" s="3"/>
      <c r="K36" s="3"/>
      <c r="M36" s="3"/>
      <c r="O36" s="22"/>
      <c r="P36" s="3"/>
      <c r="Q36" s="22"/>
      <c r="R36" s="3"/>
      <c r="S36" s="22"/>
      <c r="T36" s="18"/>
      <c r="U36" s="19"/>
      <c r="V36" s="20"/>
      <c r="W36" s="20"/>
    </row>
    <row r="37" spans="1:33">
      <c r="E37" s="3"/>
      <c r="G37" s="3"/>
      <c r="I37" s="3"/>
      <c r="K37" s="3"/>
      <c r="M37" s="3"/>
      <c r="O37" s="22"/>
      <c r="P37" s="3"/>
      <c r="Q37" s="22"/>
      <c r="R37" s="3"/>
      <c r="S37" s="22"/>
      <c r="T37" s="18"/>
      <c r="U37" s="19"/>
      <c r="V37" s="20"/>
      <c r="W37" s="20"/>
    </row>
    <row r="38" spans="1:33">
      <c r="E38" s="3"/>
      <c r="G38" s="3"/>
      <c r="I38" s="3"/>
      <c r="K38" s="3"/>
      <c r="M38" s="3"/>
      <c r="O38" s="22"/>
      <c r="P38" s="3"/>
      <c r="Q38" s="22"/>
      <c r="R38" s="3"/>
      <c r="S38" s="22"/>
      <c r="T38" s="18"/>
      <c r="U38" s="19"/>
      <c r="V38" s="20"/>
      <c r="W38" s="20"/>
    </row>
    <row r="39" spans="1:33">
      <c r="E39" s="3"/>
      <c r="G39" s="3"/>
      <c r="I39" s="3"/>
      <c r="K39" s="3"/>
      <c r="M39" s="3"/>
      <c r="O39" s="22"/>
      <c r="P39" s="3"/>
      <c r="Q39" s="22"/>
      <c r="R39" s="3"/>
      <c r="S39" s="22"/>
      <c r="T39" s="18"/>
      <c r="U39" s="19"/>
      <c r="V39" s="20"/>
      <c r="W39" s="20"/>
    </row>
    <row r="40" spans="1:33">
      <c r="E40" s="3"/>
      <c r="G40" s="3"/>
      <c r="I40" s="3"/>
      <c r="K40" s="3"/>
      <c r="M40" s="3"/>
      <c r="O40" s="22"/>
      <c r="P40" s="3"/>
      <c r="Q40" s="22"/>
      <c r="R40" s="3"/>
      <c r="S40" s="22"/>
      <c r="T40" s="18"/>
      <c r="U40" s="19"/>
      <c r="V40" s="20"/>
      <c r="W40" s="20"/>
    </row>
    <row r="41" spans="1:33">
      <c r="E41" s="3"/>
      <c r="G41" s="3"/>
      <c r="I41" s="3"/>
      <c r="K41" s="3"/>
      <c r="M41" s="3"/>
      <c r="O41" s="22"/>
      <c r="P41" s="3"/>
      <c r="Q41" s="22"/>
      <c r="R41" s="3"/>
      <c r="S41" s="22"/>
      <c r="T41" s="18"/>
      <c r="U41" s="19"/>
      <c r="V41" s="20"/>
      <c r="W41" s="20"/>
    </row>
    <row r="42" spans="1:33" ht="15.75" customHeight="1">
      <c r="T42" s="18"/>
      <c r="U42" s="19"/>
      <c r="V42" s="20"/>
      <c r="W42" s="20"/>
    </row>
    <row r="43" spans="1:33" ht="15.75" customHeight="1">
      <c r="T43" s="18"/>
      <c r="U43" s="19"/>
      <c r="V43" s="20"/>
      <c r="W43" s="20"/>
    </row>
    <row r="44" spans="1:33" ht="15.75" customHeight="1">
      <c r="T44" s="18"/>
      <c r="U44" s="19"/>
      <c r="V44" s="20"/>
      <c r="W44" s="20"/>
    </row>
    <row r="45" spans="1:33" ht="15.75" customHeight="1">
      <c r="T45" s="18"/>
      <c r="U45" s="19"/>
      <c r="V45" s="20"/>
      <c r="W45" s="20"/>
    </row>
    <row r="46" spans="1:33" ht="15.75" customHeight="1">
      <c r="T46" s="18"/>
      <c r="U46" s="19"/>
      <c r="V46" s="20"/>
      <c r="W46" s="20"/>
    </row>
    <row r="47" spans="1:33" ht="15.75" customHeight="1">
      <c r="T47" s="18"/>
      <c r="U47" s="19"/>
      <c r="V47" s="20"/>
      <c r="W47" s="20"/>
    </row>
    <row r="48" spans="1:33" ht="15.75" customHeight="1">
      <c r="T48" s="18"/>
      <c r="U48" s="19"/>
      <c r="V48" s="20"/>
      <c r="W48" s="20"/>
    </row>
    <row r="49" spans="20:23" ht="15.75" customHeight="1">
      <c r="T49" s="18"/>
      <c r="U49" s="19"/>
      <c r="V49" s="20"/>
      <c r="W49" s="20"/>
    </row>
    <row r="50" spans="20:23" ht="15.75" customHeight="1">
      <c r="T50" s="18"/>
      <c r="U50" s="19"/>
      <c r="V50" s="20"/>
      <c r="W50" s="20"/>
    </row>
    <row r="51" spans="20:23" ht="15.75" customHeight="1">
      <c r="T51" s="18"/>
      <c r="U51" s="19"/>
      <c r="V51" s="20"/>
      <c r="W51" s="20"/>
    </row>
    <row r="52" spans="20:23" ht="15.75" customHeight="1">
      <c r="T52" s="18"/>
      <c r="U52" s="19"/>
      <c r="V52" s="20"/>
      <c r="W52" s="20"/>
    </row>
    <row r="53" spans="20:23" ht="15.75" customHeight="1">
      <c r="T53" s="18"/>
      <c r="U53" s="19"/>
      <c r="V53" s="20"/>
      <c r="W53" s="20"/>
    </row>
    <row r="54" spans="20:23" ht="15.75" customHeight="1">
      <c r="T54" s="18"/>
      <c r="U54" s="19"/>
      <c r="V54" s="20"/>
      <c r="W54" s="20"/>
    </row>
    <row r="55" spans="20:23" ht="15.75" customHeight="1">
      <c r="T55" s="18"/>
      <c r="U55" s="19"/>
      <c r="V55" s="20"/>
      <c r="W55" s="20"/>
    </row>
    <row r="56" spans="20:23" ht="15.75" customHeight="1">
      <c r="T56" s="18"/>
      <c r="U56" s="19"/>
      <c r="V56" s="20"/>
      <c r="W56" s="20"/>
    </row>
    <row r="57" spans="20:23" ht="15.75" customHeight="1">
      <c r="T57" s="18"/>
      <c r="U57" s="19"/>
      <c r="V57" s="20"/>
      <c r="W57" s="20"/>
    </row>
    <row r="58" spans="20:23" ht="15.75" customHeight="1">
      <c r="T58" s="18"/>
      <c r="U58" s="19"/>
      <c r="V58" s="20"/>
      <c r="W58" s="20"/>
    </row>
    <row r="59" spans="20:23" ht="15.75" customHeight="1">
      <c r="T59" s="18"/>
      <c r="U59" s="19"/>
      <c r="V59" s="20"/>
      <c r="W59" s="20"/>
    </row>
    <row r="60" spans="20:23" ht="15.75" customHeight="1">
      <c r="T60" s="18"/>
      <c r="U60" s="19"/>
      <c r="V60" s="20"/>
      <c r="W60" s="20"/>
    </row>
    <row r="61" spans="20:23" ht="15.75" customHeight="1">
      <c r="T61" s="18"/>
      <c r="U61" s="19"/>
      <c r="V61" s="20"/>
      <c r="W61" s="20"/>
    </row>
    <row r="62" spans="20:23" ht="15.75" customHeight="1">
      <c r="T62" s="18"/>
      <c r="U62" s="19"/>
      <c r="V62" s="20"/>
      <c r="W62" s="20"/>
    </row>
    <row r="63" spans="20:23" ht="15.75" customHeight="1">
      <c r="T63" s="18"/>
      <c r="U63" s="19"/>
      <c r="V63" s="20"/>
      <c r="W63" s="20"/>
    </row>
    <row r="64" spans="20:23" ht="15.75" customHeight="1">
      <c r="T64" s="18"/>
      <c r="U64" s="19"/>
      <c r="V64" s="20"/>
      <c r="W64" s="20"/>
    </row>
    <row r="65" spans="20:23" ht="15">
      <c r="T65" s="18"/>
      <c r="U65" s="19"/>
      <c r="V65" s="20"/>
      <c r="W65" s="20"/>
    </row>
    <row r="66" spans="20:23" ht="15">
      <c r="T66" s="18"/>
      <c r="U66" s="19"/>
      <c r="V66" s="20"/>
      <c r="W66" s="20"/>
    </row>
    <row r="67" spans="20:23" ht="15">
      <c r="T67" s="18"/>
      <c r="U67" s="19"/>
      <c r="V67" s="20"/>
      <c r="W67" s="20"/>
    </row>
    <row r="68" spans="20:23" ht="15">
      <c r="T68" s="18"/>
      <c r="U68" s="19"/>
      <c r="V68" s="20"/>
      <c r="W68" s="20"/>
    </row>
    <row r="69" spans="20:23" ht="15">
      <c r="T69" s="18"/>
      <c r="U69" s="19"/>
      <c r="V69" s="20"/>
      <c r="W69" s="20"/>
    </row>
    <row r="70" spans="20:23" ht="15">
      <c r="T70" s="18"/>
      <c r="U70" s="19"/>
      <c r="V70" s="20"/>
      <c r="W70" s="20"/>
    </row>
    <row r="71" spans="20:23" ht="15">
      <c r="T71" s="18"/>
      <c r="U71" s="19"/>
      <c r="V71" s="20"/>
      <c r="W71" s="20"/>
    </row>
    <row r="72" spans="20:23" ht="15">
      <c r="T72" s="18"/>
      <c r="U72" s="19"/>
      <c r="V72" s="20"/>
      <c r="W72" s="20"/>
    </row>
    <row r="73" spans="20:23" ht="15">
      <c r="T73" s="18"/>
      <c r="U73" s="19"/>
      <c r="V73" s="20"/>
      <c r="W73" s="20"/>
    </row>
    <row r="74" spans="20:23" ht="15">
      <c r="T74" s="18"/>
      <c r="U74" s="19"/>
      <c r="V74" s="20"/>
      <c r="W74" s="20"/>
    </row>
    <row r="75" spans="20:23" ht="15">
      <c r="T75" s="18"/>
      <c r="U75" s="19"/>
      <c r="V75" s="20"/>
      <c r="W75" s="20"/>
    </row>
    <row r="76" spans="20:23" ht="15">
      <c r="T76" s="18"/>
      <c r="U76" s="19"/>
      <c r="V76" s="20"/>
      <c r="W76" s="20"/>
    </row>
  </sheetData>
  <mergeCells count="6">
    <mergeCell ref="B1:C1"/>
    <mergeCell ref="D1:W2"/>
    <mergeCell ref="B2:C2"/>
    <mergeCell ref="D3:M3"/>
    <mergeCell ref="N3:S3"/>
    <mergeCell ref="T3:W3"/>
  </mergeCells>
  <dataValidations count="8">
    <dataValidation type="list" allowBlank="1" showErrorMessage="1" sqref="N5:N30 P5:P30 R5:R30" xr:uid="{00000000-0002-0000-0000-000000000000}">
      <formula1>"High,Low,None"</formula1>
    </dataValidation>
    <dataValidation type="list" allowBlank="1" showErrorMessage="1" sqref="B5:B30" xr:uid="{00000000-0002-0000-0000-000001000000}">
      <formula1>"Spoofing ,Tampering,Repudiation,Information Disclosure,Denial of Service,Elevation of Privilage"</formula1>
    </dataValidation>
    <dataValidation type="list" allowBlank="1" showErrorMessage="1" sqref="L5:L30" xr:uid="{00000000-0002-0000-0000-000002000000}">
      <formula1>"Unchanged,Changed"</formula1>
    </dataValidation>
    <dataValidation type="list" allowBlank="1" showErrorMessage="1" sqref="F5:F30" xr:uid="{00000000-0002-0000-0000-000003000000}">
      <formula1>"Low,High"</formula1>
    </dataValidation>
    <dataValidation type="list" allowBlank="1" showErrorMessage="1" sqref="D5:D30" xr:uid="{00000000-0002-0000-0000-000004000000}">
      <formula1>"Network,Adjacent Network,Local,Physical"</formula1>
    </dataValidation>
    <dataValidation type="list" allowBlank="1" showErrorMessage="1" sqref="A5:A30" xr:uid="{00000000-0002-0000-00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30" xr:uid="{00000000-0002-0000-0000-000006000000}">
      <formula1>"None,Required"</formula1>
    </dataValidation>
    <dataValidation type="list" allowBlank="1" showErrorMessage="1" sqref="H5:H30" xr:uid="{00000000-0002-0000-0000-000007000000}">
      <formula1>"None,Low,High"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 McDevitt</cp:lastModifiedBy>
  <dcterms:modified xsi:type="dcterms:W3CDTF">2025-12-31T13:59:50Z</dcterms:modified>
</cp:coreProperties>
</file>