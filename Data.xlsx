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ya.mcdevitt/Downloads/"/>
    </mc:Choice>
  </mc:AlternateContent>
  <xr:revisionPtr revIDLastSave="0" documentId="13_ncr:1_{6C4CF1C4-FDBF-4B46-8F1B-E31BE860EBE5}" xr6:coauthVersionLast="47" xr6:coauthVersionMax="47" xr10:uidLastSave="{00000000-0000-0000-0000-000000000000}"/>
  <bookViews>
    <workbookView xWindow="41380" yWindow="500" windowWidth="34560" windowHeight="21100" xr2:uid="{00000000-000D-0000-FFFF-FFFF00000000}"/>
  </bookViews>
  <sheets>
    <sheet name="Control" sheetId="2" r:id="rId1"/>
    <sheet name="227" sheetId="3" r:id="rId2"/>
    <sheet name="225" sheetId="4" r:id="rId3"/>
    <sheet name="222" sheetId="5" r:id="rId4"/>
    <sheet name="23" sheetId="6" r:id="rId5"/>
    <sheet name="17" sheetId="7" r:id="rId6"/>
    <sheet name="4" sheetId="8" r:id="rId7"/>
    <sheet name="5" sheetId="9" r:id="rId8"/>
    <sheet name="6" sheetId="10" r:id="rId9"/>
    <sheet name="7" sheetId="11" r:id="rId10"/>
    <sheet name="8" sheetId="12" r:id="rId11"/>
    <sheet name="9" sheetId="13" r:id="rId12"/>
    <sheet name="10" sheetId="14" r:id="rId13"/>
    <sheet name="11" sheetId="15" r:id="rId14"/>
    <sheet name="13" sheetId="16" r:id="rId15"/>
    <sheet name="14" sheetId="17" r:id="rId16"/>
    <sheet name="15" sheetId="18" r:id="rId17"/>
    <sheet name="16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4" sheetId="25" r:id="rId24"/>
    <sheet name="25" sheetId="26" r:id="rId25"/>
    <sheet name="27" sheetId="27" r:id="rId26"/>
    <sheet name="31" sheetId="28" r:id="rId27"/>
    <sheet name="32" sheetId="29" r:id="rId28"/>
    <sheet name="33" sheetId="30" r:id="rId29"/>
    <sheet name="223" sheetId="31" r:id="rId30"/>
    <sheet name="224" sheetId="32" r:id="rId31"/>
    <sheet name="226" sheetId="33" r:id="rId32"/>
  </sheets>
  <definedNames>
    <definedName name="_xlnm._FilterDatabase" localSheetId="0" hidden="1">Control!$A$4:$AH$48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33" l="1"/>
  <c r="S9" i="33"/>
  <c r="Q9" i="33"/>
  <c r="O9" i="33"/>
  <c r="M9" i="33"/>
  <c r="V9" i="33" s="1"/>
  <c r="T9" i="33" s="1"/>
  <c r="K9" i="33"/>
  <c r="I9" i="33"/>
  <c r="G9" i="33"/>
  <c r="E9" i="33"/>
  <c r="W9" i="33" s="1"/>
  <c r="U8" i="33"/>
  <c r="S8" i="33"/>
  <c r="Q8" i="33"/>
  <c r="O8" i="33"/>
  <c r="M8" i="33"/>
  <c r="V8" i="33" s="1"/>
  <c r="K8" i="33"/>
  <c r="I8" i="33"/>
  <c r="G8" i="33"/>
  <c r="W8" i="33" s="1"/>
  <c r="E8" i="33"/>
  <c r="U7" i="33"/>
  <c r="S7" i="33"/>
  <c r="Q7" i="33"/>
  <c r="O7" i="33"/>
  <c r="M7" i="33"/>
  <c r="V7" i="33" s="1"/>
  <c r="T7" i="33" s="1"/>
  <c r="K7" i="33"/>
  <c r="I7" i="33"/>
  <c r="G7" i="33"/>
  <c r="W7" i="33" s="1"/>
  <c r="E7" i="33"/>
  <c r="U6" i="33"/>
  <c r="S6" i="33"/>
  <c r="Q6" i="33"/>
  <c r="O6" i="33"/>
  <c r="M6" i="33"/>
  <c r="V6" i="33" s="1"/>
  <c r="T6" i="33" s="1"/>
  <c r="K6" i="33"/>
  <c r="I6" i="33"/>
  <c r="G6" i="33"/>
  <c r="W6" i="33" s="1"/>
  <c r="E6" i="33"/>
  <c r="U5" i="33"/>
  <c r="S5" i="33"/>
  <c r="Q5" i="33"/>
  <c r="O5" i="33"/>
  <c r="M5" i="33"/>
  <c r="V5" i="33" s="1"/>
  <c r="K5" i="33"/>
  <c r="I5" i="33"/>
  <c r="G5" i="33"/>
  <c r="W5" i="33" s="1"/>
  <c r="E5" i="33"/>
  <c r="S13" i="32"/>
  <c r="Q13" i="32"/>
  <c r="O13" i="32"/>
  <c r="U13" i="32" s="1"/>
  <c r="V13" i="32" s="1"/>
  <c r="T13" i="32" s="1"/>
  <c r="M13" i="32"/>
  <c r="K13" i="32"/>
  <c r="I13" i="32"/>
  <c r="G13" i="32"/>
  <c r="E13" i="32"/>
  <c r="W13" i="32" s="1"/>
  <c r="S12" i="32"/>
  <c r="Q12" i="32"/>
  <c r="O12" i="32"/>
  <c r="U12" i="32" s="1"/>
  <c r="V12" i="32" s="1"/>
  <c r="T12" i="32" s="1"/>
  <c r="M12" i="32"/>
  <c r="K12" i="32"/>
  <c r="I12" i="32"/>
  <c r="G12" i="32"/>
  <c r="E12" i="32"/>
  <c r="W12" i="32" s="1"/>
  <c r="S11" i="32"/>
  <c r="Q11" i="32"/>
  <c r="O11" i="32"/>
  <c r="U11" i="32" s="1"/>
  <c r="V11" i="32" s="1"/>
  <c r="M11" i="32"/>
  <c r="K11" i="32"/>
  <c r="I11" i="32"/>
  <c r="G11" i="32"/>
  <c r="E11" i="32"/>
  <c r="W11" i="32" s="1"/>
  <c r="S10" i="32"/>
  <c r="Q10" i="32"/>
  <c r="O10" i="32"/>
  <c r="U10" i="32" s="1"/>
  <c r="V10" i="32" s="1"/>
  <c r="T10" i="32" s="1"/>
  <c r="M10" i="32"/>
  <c r="K10" i="32"/>
  <c r="I10" i="32"/>
  <c r="G10" i="32"/>
  <c r="E10" i="32"/>
  <c r="W10" i="32" s="1"/>
  <c r="S9" i="32"/>
  <c r="Q9" i="32"/>
  <c r="O9" i="32"/>
  <c r="U9" i="32" s="1"/>
  <c r="V9" i="32" s="1"/>
  <c r="T9" i="32" s="1"/>
  <c r="M9" i="32"/>
  <c r="K9" i="32"/>
  <c r="I9" i="32"/>
  <c r="G9" i="32"/>
  <c r="E9" i="32"/>
  <c r="W9" i="32" s="1"/>
  <c r="S8" i="32"/>
  <c r="Q8" i="32"/>
  <c r="O8" i="32"/>
  <c r="U8" i="32" s="1"/>
  <c r="V8" i="32" s="1"/>
  <c r="M8" i="32"/>
  <c r="K8" i="32"/>
  <c r="I8" i="32"/>
  <c r="G8" i="32"/>
  <c r="E8" i="32"/>
  <c r="W8" i="32" s="1"/>
  <c r="S7" i="32"/>
  <c r="Q7" i="32"/>
  <c r="O7" i="32"/>
  <c r="U7" i="32" s="1"/>
  <c r="V7" i="32" s="1"/>
  <c r="T7" i="32" s="1"/>
  <c r="M7" i="32"/>
  <c r="K7" i="32"/>
  <c r="I7" i="32"/>
  <c r="G7" i="32"/>
  <c r="E7" i="32"/>
  <c r="W7" i="32" s="1"/>
  <c r="S6" i="32"/>
  <c r="Q6" i="32"/>
  <c r="O6" i="32"/>
  <c r="U6" i="32" s="1"/>
  <c r="V6" i="32" s="1"/>
  <c r="T6" i="32" s="1"/>
  <c r="M6" i="32"/>
  <c r="K6" i="32"/>
  <c r="I6" i="32"/>
  <c r="G6" i="32"/>
  <c r="E6" i="32"/>
  <c r="W6" i="32" s="1"/>
  <c r="S5" i="32"/>
  <c r="Q5" i="32"/>
  <c r="O5" i="32"/>
  <c r="U5" i="32" s="1"/>
  <c r="V5" i="32" s="1"/>
  <c r="M5" i="32"/>
  <c r="K5" i="32"/>
  <c r="I5" i="32"/>
  <c r="G5" i="32"/>
  <c r="E5" i="32"/>
  <c r="W5" i="32" s="1"/>
  <c r="U14" i="31"/>
  <c r="S14" i="31"/>
  <c r="Q14" i="31"/>
  <c r="O14" i="31"/>
  <c r="M14" i="31"/>
  <c r="V14" i="31" s="1"/>
  <c r="T14" i="31" s="1"/>
  <c r="K14" i="31"/>
  <c r="I14" i="31"/>
  <c r="W14" i="31" s="1"/>
  <c r="G14" i="31"/>
  <c r="E14" i="31"/>
  <c r="U13" i="31"/>
  <c r="S13" i="31"/>
  <c r="Q13" i="31"/>
  <c r="O13" i="31"/>
  <c r="M13" i="31"/>
  <c r="V13" i="31" s="1"/>
  <c r="T13" i="31" s="1"/>
  <c r="K13" i="31"/>
  <c r="I13" i="31"/>
  <c r="W13" i="31" s="1"/>
  <c r="G13" i="31"/>
  <c r="E13" i="31"/>
  <c r="U12" i="31"/>
  <c r="S12" i="31"/>
  <c r="Q12" i="31"/>
  <c r="O12" i="31"/>
  <c r="M12" i="31"/>
  <c r="V12" i="31" s="1"/>
  <c r="T12" i="31" s="1"/>
  <c r="K12" i="31"/>
  <c r="I12" i="31"/>
  <c r="W12" i="31" s="1"/>
  <c r="G12" i="31"/>
  <c r="E12" i="31"/>
  <c r="U11" i="31"/>
  <c r="S11" i="31"/>
  <c r="Q11" i="31"/>
  <c r="O11" i="31"/>
  <c r="M11" i="31"/>
  <c r="V11" i="31" s="1"/>
  <c r="T11" i="31" s="1"/>
  <c r="K11" i="31"/>
  <c r="I11" i="31"/>
  <c r="W11" i="31" s="1"/>
  <c r="G11" i="31"/>
  <c r="E11" i="31"/>
  <c r="U10" i="31"/>
  <c r="S10" i="31"/>
  <c r="Q10" i="31"/>
  <c r="O10" i="31"/>
  <c r="M10" i="31"/>
  <c r="V10" i="31" s="1"/>
  <c r="T10" i="31" s="1"/>
  <c r="K10" i="31"/>
  <c r="I10" i="31"/>
  <c r="W10" i="31" s="1"/>
  <c r="G10" i="31"/>
  <c r="E10" i="31"/>
  <c r="U9" i="31"/>
  <c r="S9" i="31"/>
  <c r="Q9" i="31"/>
  <c r="O9" i="31"/>
  <c r="M9" i="31"/>
  <c r="V9" i="31" s="1"/>
  <c r="T9" i="31" s="1"/>
  <c r="K9" i="31"/>
  <c r="I9" i="31"/>
  <c r="W9" i="31" s="1"/>
  <c r="G9" i="31"/>
  <c r="E9" i="31"/>
  <c r="U8" i="31"/>
  <c r="S8" i="31"/>
  <c r="Q8" i="31"/>
  <c r="O8" i="31"/>
  <c r="M8" i="31"/>
  <c r="V8" i="31" s="1"/>
  <c r="T8" i="31" s="1"/>
  <c r="K8" i="31"/>
  <c r="I8" i="31"/>
  <c r="W8" i="31" s="1"/>
  <c r="G8" i="31"/>
  <c r="E8" i="31"/>
  <c r="U7" i="31"/>
  <c r="S7" i="31"/>
  <c r="Q7" i="31"/>
  <c r="O7" i="31"/>
  <c r="M7" i="31"/>
  <c r="V7" i="31" s="1"/>
  <c r="T7" i="31" s="1"/>
  <c r="K7" i="31"/>
  <c r="I7" i="31"/>
  <c r="W7" i="31" s="1"/>
  <c r="G7" i="31"/>
  <c r="E7" i="31"/>
  <c r="U6" i="31"/>
  <c r="S6" i="31"/>
  <c r="Q6" i="31"/>
  <c r="O6" i="31"/>
  <c r="M6" i="31"/>
  <c r="V6" i="31" s="1"/>
  <c r="T6" i="31" s="1"/>
  <c r="K6" i="31"/>
  <c r="I6" i="31"/>
  <c r="W6" i="31" s="1"/>
  <c r="G6" i="31"/>
  <c r="E6" i="31"/>
  <c r="U5" i="31"/>
  <c r="S5" i="31"/>
  <c r="Q5" i="31"/>
  <c r="O5" i="31"/>
  <c r="M5" i="31"/>
  <c r="V5" i="31" s="1"/>
  <c r="T5" i="31" s="1"/>
  <c r="K5" i="31"/>
  <c r="I5" i="31"/>
  <c r="W5" i="31" s="1"/>
  <c r="G5" i="31"/>
  <c r="E5" i="31"/>
  <c r="V8" i="30"/>
  <c r="T8" i="30" s="1"/>
  <c r="U8" i="30"/>
  <c r="S8" i="30"/>
  <c r="Q8" i="30"/>
  <c r="O8" i="30"/>
  <c r="M8" i="30"/>
  <c r="K8" i="30"/>
  <c r="I8" i="30"/>
  <c r="G8" i="30"/>
  <c r="E8" i="30"/>
  <c r="W8" i="30" s="1"/>
  <c r="V7" i="30"/>
  <c r="U7" i="30"/>
  <c r="S7" i="30"/>
  <c r="Q7" i="30"/>
  <c r="O7" i="30"/>
  <c r="M7" i="30"/>
  <c r="K7" i="30"/>
  <c r="I7" i="30"/>
  <c r="G7" i="30"/>
  <c r="E7" i="30"/>
  <c r="W7" i="30" s="1"/>
  <c r="V6" i="30"/>
  <c r="U6" i="30"/>
  <c r="S6" i="30"/>
  <c r="Q6" i="30"/>
  <c r="O6" i="30"/>
  <c r="M6" i="30"/>
  <c r="K6" i="30"/>
  <c r="I6" i="30"/>
  <c r="G6" i="30"/>
  <c r="E6" i="30"/>
  <c r="W6" i="30" s="1"/>
  <c r="V5" i="30"/>
  <c r="U5" i="30"/>
  <c r="S5" i="30"/>
  <c r="Q5" i="30"/>
  <c r="O5" i="30"/>
  <c r="M5" i="30"/>
  <c r="K5" i="30"/>
  <c r="I5" i="30"/>
  <c r="G5" i="30"/>
  <c r="E5" i="30"/>
  <c r="W5" i="30" s="1"/>
  <c r="W22" i="29"/>
  <c r="S22" i="29"/>
  <c r="Q22" i="29"/>
  <c r="O22" i="29"/>
  <c r="U22" i="29" s="1"/>
  <c r="M22" i="29"/>
  <c r="V22" i="29" s="1"/>
  <c r="T22" i="29" s="1"/>
  <c r="K22" i="29"/>
  <c r="I22" i="29"/>
  <c r="G22" i="29"/>
  <c r="E22" i="29"/>
  <c r="W21" i="29"/>
  <c r="S21" i="29"/>
  <c r="Q21" i="29"/>
  <c r="O21" i="29"/>
  <c r="U21" i="29" s="1"/>
  <c r="M21" i="29"/>
  <c r="V21" i="29" s="1"/>
  <c r="T21" i="29" s="1"/>
  <c r="K21" i="29"/>
  <c r="I21" i="29"/>
  <c r="G21" i="29"/>
  <c r="E21" i="29"/>
  <c r="W20" i="29"/>
  <c r="S20" i="29"/>
  <c r="Q20" i="29"/>
  <c r="O20" i="29"/>
  <c r="U20" i="29" s="1"/>
  <c r="M20" i="29"/>
  <c r="K20" i="29"/>
  <c r="I20" i="29"/>
  <c r="G20" i="29"/>
  <c r="E20" i="29"/>
  <c r="W19" i="29"/>
  <c r="S19" i="29"/>
  <c r="Q19" i="29"/>
  <c r="O19" i="29"/>
  <c r="U19" i="29" s="1"/>
  <c r="M19" i="29"/>
  <c r="K19" i="29"/>
  <c r="I19" i="29"/>
  <c r="G19" i="29"/>
  <c r="E19" i="29"/>
  <c r="W18" i="29"/>
  <c r="S18" i="29"/>
  <c r="Q18" i="29"/>
  <c r="O18" i="29"/>
  <c r="U18" i="29" s="1"/>
  <c r="M18" i="29"/>
  <c r="V18" i="29" s="1"/>
  <c r="T18" i="29" s="1"/>
  <c r="K18" i="29"/>
  <c r="I18" i="29"/>
  <c r="G18" i="29"/>
  <c r="E18" i="29"/>
  <c r="W17" i="29"/>
  <c r="S17" i="29"/>
  <c r="Q17" i="29"/>
  <c r="O17" i="29"/>
  <c r="U17" i="29" s="1"/>
  <c r="M17" i="29"/>
  <c r="V17" i="29" s="1"/>
  <c r="T17" i="29" s="1"/>
  <c r="K17" i="29"/>
  <c r="I17" i="29"/>
  <c r="G17" i="29"/>
  <c r="E17" i="29"/>
  <c r="W16" i="29"/>
  <c r="S16" i="29"/>
  <c r="Q16" i="29"/>
  <c r="O16" i="29"/>
  <c r="U16" i="29" s="1"/>
  <c r="M16" i="29"/>
  <c r="K16" i="29"/>
  <c r="I16" i="29"/>
  <c r="G16" i="29"/>
  <c r="E16" i="29"/>
  <c r="W15" i="29"/>
  <c r="S15" i="29"/>
  <c r="Q15" i="29"/>
  <c r="O15" i="29"/>
  <c r="U15" i="29" s="1"/>
  <c r="M15" i="29"/>
  <c r="K15" i="29"/>
  <c r="I15" i="29"/>
  <c r="G15" i="29"/>
  <c r="E15" i="29"/>
  <c r="W14" i="29"/>
  <c r="S14" i="29"/>
  <c r="Q14" i="29"/>
  <c r="O14" i="29"/>
  <c r="U14" i="29" s="1"/>
  <c r="M14" i="29"/>
  <c r="V14" i="29" s="1"/>
  <c r="K14" i="29"/>
  <c r="I14" i="29"/>
  <c r="G14" i="29"/>
  <c r="E14" i="29"/>
  <c r="W13" i="29"/>
  <c r="S13" i="29"/>
  <c r="Q13" i="29"/>
  <c r="O13" i="29"/>
  <c r="U13" i="29" s="1"/>
  <c r="M13" i="29"/>
  <c r="V13" i="29" s="1"/>
  <c r="T13" i="29" s="1"/>
  <c r="K13" i="29"/>
  <c r="I13" i="29"/>
  <c r="G13" i="29"/>
  <c r="E13" i="29"/>
  <c r="W12" i="29"/>
  <c r="S12" i="29"/>
  <c r="Q12" i="29"/>
  <c r="O12" i="29"/>
  <c r="U12" i="29" s="1"/>
  <c r="M12" i="29"/>
  <c r="K12" i="29"/>
  <c r="I12" i="29"/>
  <c r="G12" i="29"/>
  <c r="E12" i="29"/>
  <c r="W11" i="29"/>
  <c r="S11" i="29"/>
  <c r="Q11" i="29"/>
  <c r="O11" i="29"/>
  <c r="U11" i="29" s="1"/>
  <c r="M11" i="29"/>
  <c r="K11" i="29"/>
  <c r="I11" i="29"/>
  <c r="G11" i="29"/>
  <c r="E11" i="29"/>
  <c r="W10" i="29"/>
  <c r="S10" i="29"/>
  <c r="Q10" i="29"/>
  <c r="O10" i="29"/>
  <c r="U10" i="29" s="1"/>
  <c r="M10" i="29"/>
  <c r="V10" i="29" s="1"/>
  <c r="K10" i="29"/>
  <c r="I10" i="29"/>
  <c r="G10" i="29"/>
  <c r="E10" i="29"/>
  <c r="W9" i="29"/>
  <c r="S9" i="29"/>
  <c r="Q9" i="29"/>
  <c r="O9" i="29"/>
  <c r="U9" i="29" s="1"/>
  <c r="M9" i="29"/>
  <c r="V9" i="29" s="1"/>
  <c r="T9" i="29" s="1"/>
  <c r="K9" i="29"/>
  <c r="I9" i="29"/>
  <c r="G9" i="29"/>
  <c r="E9" i="29"/>
  <c r="W8" i="29"/>
  <c r="S8" i="29"/>
  <c r="Q8" i="29"/>
  <c r="O8" i="29"/>
  <c r="U8" i="29" s="1"/>
  <c r="M8" i="29"/>
  <c r="K8" i="29"/>
  <c r="I8" i="29"/>
  <c r="G8" i="29"/>
  <c r="E8" i="29"/>
  <c r="W7" i="29"/>
  <c r="S7" i="29"/>
  <c r="Q7" i="29"/>
  <c r="O7" i="29"/>
  <c r="U7" i="29" s="1"/>
  <c r="M7" i="29"/>
  <c r="K7" i="29"/>
  <c r="I7" i="29"/>
  <c r="G7" i="29"/>
  <c r="E7" i="29"/>
  <c r="W6" i="29"/>
  <c r="S6" i="29"/>
  <c r="Q6" i="29"/>
  <c r="O6" i="29"/>
  <c r="U6" i="29" s="1"/>
  <c r="M6" i="29"/>
  <c r="V6" i="29" s="1"/>
  <c r="K6" i="29"/>
  <c r="I6" i="29"/>
  <c r="G6" i="29"/>
  <c r="E6" i="29"/>
  <c r="W5" i="29"/>
  <c r="S5" i="29"/>
  <c r="Q5" i="29"/>
  <c r="O5" i="29"/>
  <c r="U5" i="29" s="1"/>
  <c r="M5" i="29"/>
  <c r="V5" i="29" s="1"/>
  <c r="T5" i="29" s="1"/>
  <c r="K5" i="29"/>
  <c r="I5" i="29"/>
  <c r="G5" i="29"/>
  <c r="E5" i="29"/>
  <c r="S18" i="28"/>
  <c r="Q18" i="28"/>
  <c r="O18" i="28"/>
  <c r="U18" i="28" s="1"/>
  <c r="V18" i="28" s="1"/>
  <c r="M18" i="28"/>
  <c r="K18" i="28"/>
  <c r="I18" i="28"/>
  <c r="G18" i="28"/>
  <c r="E18" i="28"/>
  <c r="W18" i="28" s="1"/>
  <c r="S17" i="28"/>
  <c r="Q17" i="28"/>
  <c r="O17" i="28"/>
  <c r="U17" i="28" s="1"/>
  <c r="V17" i="28" s="1"/>
  <c r="M17" i="28"/>
  <c r="K17" i="28"/>
  <c r="I17" i="28"/>
  <c r="G17" i="28"/>
  <c r="E17" i="28"/>
  <c r="W17" i="28" s="1"/>
  <c r="S16" i="28"/>
  <c r="Q16" i="28"/>
  <c r="O16" i="28"/>
  <c r="U16" i="28" s="1"/>
  <c r="V16" i="28" s="1"/>
  <c r="T16" i="28" s="1"/>
  <c r="M16" i="28"/>
  <c r="K16" i="28"/>
  <c r="I16" i="28"/>
  <c r="G16" i="28"/>
  <c r="E16" i="28"/>
  <c r="W16" i="28" s="1"/>
  <c r="S15" i="28"/>
  <c r="Q15" i="28"/>
  <c r="O15" i="28"/>
  <c r="U15" i="28" s="1"/>
  <c r="V15" i="28" s="1"/>
  <c r="M15" i="28"/>
  <c r="K15" i="28"/>
  <c r="I15" i="28"/>
  <c r="G15" i="28"/>
  <c r="E15" i="28"/>
  <c r="W15" i="28" s="1"/>
  <c r="S14" i="28"/>
  <c r="Q14" i="28"/>
  <c r="O14" i="28"/>
  <c r="U14" i="28" s="1"/>
  <c r="V14" i="28" s="1"/>
  <c r="M14" i="28"/>
  <c r="K14" i="28"/>
  <c r="I14" i="28"/>
  <c r="G14" i="28"/>
  <c r="E14" i="28"/>
  <c r="W14" i="28" s="1"/>
  <c r="S13" i="28"/>
  <c r="Q13" i="28"/>
  <c r="O13" i="28"/>
  <c r="U13" i="28" s="1"/>
  <c r="V13" i="28" s="1"/>
  <c r="T13" i="28" s="1"/>
  <c r="M13" i="28"/>
  <c r="K13" i="28"/>
  <c r="I13" i="28"/>
  <c r="G13" i="28"/>
  <c r="E13" i="28"/>
  <c r="W13" i="28" s="1"/>
  <c r="S12" i="28"/>
  <c r="Q12" i="28"/>
  <c r="O12" i="28"/>
  <c r="U12" i="28" s="1"/>
  <c r="V12" i="28" s="1"/>
  <c r="M12" i="28"/>
  <c r="K12" i="28"/>
  <c r="I12" i="28"/>
  <c r="G12" i="28"/>
  <c r="E12" i="28"/>
  <c r="W12" i="28" s="1"/>
  <c r="S11" i="28"/>
  <c r="Q11" i="28"/>
  <c r="O11" i="28"/>
  <c r="U11" i="28" s="1"/>
  <c r="V11" i="28" s="1"/>
  <c r="M11" i="28"/>
  <c r="K11" i="28"/>
  <c r="I11" i="28"/>
  <c r="G11" i="28"/>
  <c r="E11" i="28"/>
  <c r="W11" i="28" s="1"/>
  <c r="S10" i="28"/>
  <c r="Q10" i="28"/>
  <c r="O10" i="28"/>
  <c r="U10" i="28" s="1"/>
  <c r="V10" i="28" s="1"/>
  <c r="T10" i="28" s="1"/>
  <c r="M10" i="28"/>
  <c r="K10" i="28"/>
  <c r="I10" i="28"/>
  <c r="G10" i="28"/>
  <c r="E10" i="28"/>
  <c r="W10" i="28" s="1"/>
  <c r="S9" i="28"/>
  <c r="Q9" i="28"/>
  <c r="O9" i="28"/>
  <c r="U9" i="28" s="1"/>
  <c r="V9" i="28" s="1"/>
  <c r="M9" i="28"/>
  <c r="K9" i="28"/>
  <c r="I9" i="28"/>
  <c r="G9" i="28"/>
  <c r="E9" i="28"/>
  <c r="W9" i="28" s="1"/>
  <c r="S8" i="28"/>
  <c r="Q8" i="28"/>
  <c r="O8" i="28"/>
  <c r="U8" i="28" s="1"/>
  <c r="V8" i="28" s="1"/>
  <c r="M8" i="28"/>
  <c r="K8" i="28"/>
  <c r="I8" i="28"/>
  <c r="G8" i="28"/>
  <c r="E8" i="28"/>
  <c r="W8" i="28" s="1"/>
  <c r="S7" i="28"/>
  <c r="Q7" i="28"/>
  <c r="O7" i="28"/>
  <c r="U7" i="28" s="1"/>
  <c r="V7" i="28" s="1"/>
  <c r="T7" i="28" s="1"/>
  <c r="M7" i="28"/>
  <c r="K7" i="28"/>
  <c r="I7" i="28"/>
  <c r="G7" i="28"/>
  <c r="E7" i="28"/>
  <c r="W7" i="28" s="1"/>
  <c r="S6" i="28"/>
  <c r="Q6" i="28"/>
  <c r="O6" i="28"/>
  <c r="U6" i="28" s="1"/>
  <c r="V6" i="28" s="1"/>
  <c r="M6" i="28"/>
  <c r="K6" i="28"/>
  <c r="I6" i="28"/>
  <c r="G6" i="28"/>
  <c r="E6" i="28"/>
  <c r="W6" i="28" s="1"/>
  <c r="S5" i="28"/>
  <c r="Q5" i="28"/>
  <c r="O5" i="28"/>
  <c r="U5" i="28" s="1"/>
  <c r="V5" i="28" s="1"/>
  <c r="M5" i="28"/>
  <c r="K5" i="28"/>
  <c r="I5" i="28"/>
  <c r="G5" i="28"/>
  <c r="E5" i="28"/>
  <c r="W5" i="28" s="1"/>
  <c r="S10" i="27"/>
  <c r="Q10" i="27"/>
  <c r="O10" i="27"/>
  <c r="U10" i="27" s="1"/>
  <c r="V10" i="27" s="1"/>
  <c r="T10" i="27" s="1"/>
  <c r="M10" i="27"/>
  <c r="K10" i="27"/>
  <c r="I10" i="27"/>
  <c r="G10" i="27"/>
  <c r="E10" i="27"/>
  <c r="W10" i="27" s="1"/>
  <c r="S9" i="27"/>
  <c r="Q9" i="27"/>
  <c r="O9" i="27"/>
  <c r="U9" i="27" s="1"/>
  <c r="V9" i="27" s="1"/>
  <c r="M9" i="27"/>
  <c r="K9" i="27"/>
  <c r="I9" i="27"/>
  <c r="G9" i="27"/>
  <c r="E9" i="27"/>
  <c r="W9" i="27" s="1"/>
  <c r="S8" i="27"/>
  <c r="Q8" i="27"/>
  <c r="O8" i="27"/>
  <c r="M8" i="27"/>
  <c r="K8" i="27"/>
  <c r="I8" i="27"/>
  <c r="G8" i="27"/>
  <c r="E8" i="27"/>
  <c r="S7" i="27"/>
  <c r="Q7" i="27"/>
  <c r="O7" i="27"/>
  <c r="U7" i="27" s="1"/>
  <c r="V7" i="27" s="1"/>
  <c r="T7" i="27" s="1"/>
  <c r="M7" i="27"/>
  <c r="K7" i="27"/>
  <c r="I7" i="27"/>
  <c r="G7" i="27"/>
  <c r="E7" i="27"/>
  <c r="W7" i="27" s="1"/>
  <c r="S6" i="27"/>
  <c r="Q6" i="27"/>
  <c r="O6" i="27"/>
  <c r="U6" i="27" s="1"/>
  <c r="V6" i="27" s="1"/>
  <c r="M6" i="27"/>
  <c r="K6" i="27"/>
  <c r="I6" i="27"/>
  <c r="G6" i="27"/>
  <c r="E6" i="27"/>
  <c r="W6" i="27" s="1"/>
  <c r="S5" i="27"/>
  <c r="Q5" i="27"/>
  <c r="O5" i="27"/>
  <c r="M5" i="27"/>
  <c r="K5" i="27"/>
  <c r="I5" i="27"/>
  <c r="G5" i="27"/>
  <c r="E5" i="27"/>
  <c r="S13" i="26"/>
  <c r="U13" i="26" s="1"/>
  <c r="Q13" i="26"/>
  <c r="O13" i="26"/>
  <c r="M13" i="26"/>
  <c r="K13" i="26"/>
  <c r="I13" i="26"/>
  <c r="G13" i="26"/>
  <c r="W13" i="26" s="1"/>
  <c r="E13" i="26"/>
  <c r="S12" i="26"/>
  <c r="U12" i="26" s="1"/>
  <c r="Q12" i="26"/>
  <c r="O12" i="26"/>
  <c r="M12" i="26"/>
  <c r="K12" i="26"/>
  <c r="I12" i="26"/>
  <c r="G12" i="26"/>
  <c r="E12" i="26"/>
  <c r="S11" i="26"/>
  <c r="U11" i="26" s="1"/>
  <c r="Q11" i="26"/>
  <c r="O11" i="26"/>
  <c r="M11" i="26"/>
  <c r="V11" i="26" s="1"/>
  <c r="K11" i="26"/>
  <c r="I11" i="26"/>
  <c r="G11" i="26"/>
  <c r="E11" i="26"/>
  <c r="T10" i="26"/>
  <c r="S10" i="26"/>
  <c r="U10" i="26" s="1"/>
  <c r="Q10" i="26"/>
  <c r="O10" i="26"/>
  <c r="M10" i="26"/>
  <c r="V10" i="26" s="1"/>
  <c r="K10" i="26"/>
  <c r="I10" i="26"/>
  <c r="G10" i="26"/>
  <c r="W10" i="26" s="1"/>
  <c r="E10" i="26"/>
  <c r="S9" i="26"/>
  <c r="U9" i="26" s="1"/>
  <c r="Q9" i="26"/>
  <c r="O9" i="26"/>
  <c r="M9" i="26"/>
  <c r="K9" i="26"/>
  <c r="I9" i="26"/>
  <c r="G9" i="26"/>
  <c r="W9" i="26" s="1"/>
  <c r="E9" i="26"/>
  <c r="S8" i="26"/>
  <c r="U8" i="26" s="1"/>
  <c r="Q8" i="26"/>
  <c r="O8" i="26"/>
  <c r="M8" i="26"/>
  <c r="K8" i="26"/>
  <c r="I8" i="26"/>
  <c r="G8" i="26"/>
  <c r="E8" i="26"/>
  <c r="S7" i="26"/>
  <c r="U7" i="26" s="1"/>
  <c r="Q7" i="26"/>
  <c r="O7" i="26"/>
  <c r="M7" i="26"/>
  <c r="V7" i="26" s="1"/>
  <c r="K7" i="26"/>
  <c r="I7" i="26"/>
  <c r="G7" i="26"/>
  <c r="E7" i="26"/>
  <c r="S6" i="26"/>
  <c r="U6" i="26" s="1"/>
  <c r="Q6" i="26"/>
  <c r="O6" i="26"/>
  <c r="M6" i="26"/>
  <c r="V6" i="26" s="1"/>
  <c r="K6" i="26"/>
  <c r="I6" i="26"/>
  <c r="G6" i="26"/>
  <c r="W6" i="26" s="1"/>
  <c r="T6" i="26" s="1"/>
  <c r="E6" i="26"/>
  <c r="S5" i="26"/>
  <c r="U5" i="26" s="1"/>
  <c r="Q5" i="26"/>
  <c r="O5" i="26"/>
  <c r="M5" i="26"/>
  <c r="K5" i="26"/>
  <c r="I5" i="26"/>
  <c r="G5" i="26"/>
  <c r="W5" i="26" s="1"/>
  <c r="E5" i="26"/>
  <c r="U12" i="25"/>
  <c r="V12" i="25" s="1"/>
  <c r="S12" i="25"/>
  <c r="Q12" i="25"/>
  <c r="O12" i="25"/>
  <c r="M12" i="25"/>
  <c r="K12" i="25"/>
  <c r="I12" i="25"/>
  <c r="G12" i="25"/>
  <c r="E12" i="25"/>
  <c r="U11" i="25"/>
  <c r="V11" i="25" s="1"/>
  <c r="S11" i="25"/>
  <c r="Q11" i="25"/>
  <c r="O11" i="25"/>
  <c r="M11" i="25"/>
  <c r="K11" i="25"/>
  <c r="I11" i="25"/>
  <c r="G11" i="25"/>
  <c r="E11" i="25"/>
  <c r="W11" i="25" s="1"/>
  <c r="T11" i="25" s="1"/>
  <c r="U10" i="25"/>
  <c r="V10" i="25" s="1"/>
  <c r="S10" i="25"/>
  <c r="Q10" i="25"/>
  <c r="O10" i="25"/>
  <c r="M10" i="25"/>
  <c r="K10" i="25"/>
  <c r="I10" i="25"/>
  <c r="G10" i="25"/>
  <c r="E10" i="25"/>
  <c r="U9" i="25"/>
  <c r="V9" i="25" s="1"/>
  <c r="T9" i="25"/>
  <c r="S9" i="25"/>
  <c r="Q9" i="25"/>
  <c r="O9" i="25"/>
  <c r="M9" i="25"/>
  <c r="K9" i="25"/>
  <c r="I9" i="25"/>
  <c r="G9" i="25"/>
  <c r="E9" i="25"/>
  <c r="W9" i="25" s="1"/>
  <c r="U8" i="25"/>
  <c r="V8" i="25" s="1"/>
  <c r="S8" i="25"/>
  <c r="Q8" i="25"/>
  <c r="O8" i="25"/>
  <c r="M8" i="25"/>
  <c r="K8" i="25"/>
  <c r="I8" i="25"/>
  <c r="G8" i="25"/>
  <c r="E8" i="25"/>
  <c r="U7" i="25"/>
  <c r="V7" i="25" s="1"/>
  <c r="T7" i="25" s="1"/>
  <c r="S7" i="25"/>
  <c r="Q7" i="25"/>
  <c r="O7" i="25"/>
  <c r="M7" i="25"/>
  <c r="K7" i="25"/>
  <c r="I7" i="25"/>
  <c r="G7" i="25"/>
  <c r="E7" i="25"/>
  <c r="W7" i="25" s="1"/>
  <c r="U6" i="25"/>
  <c r="V6" i="25" s="1"/>
  <c r="S6" i="25"/>
  <c r="Q6" i="25"/>
  <c r="O6" i="25"/>
  <c r="M6" i="25"/>
  <c r="K6" i="25"/>
  <c r="I6" i="25"/>
  <c r="G6" i="25"/>
  <c r="E6" i="25"/>
  <c r="U5" i="25"/>
  <c r="V5" i="25" s="1"/>
  <c r="S5" i="25"/>
  <c r="Q5" i="25"/>
  <c r="O5" i="25"/>
  <c r="M5" i="25"/>
  <c r="K5" i="25"/>
  <c r="I5" i="25"/>
  <c r="G5" i="25"/>
  <c r="E5" i="25"/>
  <c r="W5" i="25" s="1"/>
  <c r="T5" i="25" s="1"/>
  <c r="U41" i="24"/>
  <c r="V41" i="24" s="1"/>
  <c r="S41" i="24"/>
  <c r="Q41" i="24"/>
  <c r="O41" i="24"/>
  <c r="M41" i="24"/>
  <c r="K41" i="24"/>
  <c r="I41" i="24"/>
  <c r="G41" i="24"/>
  <c r="E41" i="24"/>
  <c r="U40" i="24"/>
  <c r="V40" i="24" s="1"/>
  <c r="T40" i="24"/>
  <c r="S40" i="24"/>
  <c r="Q40" i="24"/>
  <c r="O40" i="24"/>
  <c r="M40" i="24"/>
  <c r="K40" i="24"/>
  <c r="I40" i="24"/>
  <c r="G40" i="24"/>
  <c r="E40" i="24"/>
  <c r="W40" i="24" s="1"/>
  <c r="U39" i="24"/>
  <c r="V39" i="24" s="1"/>
  <c r="S39" i="24"/>
  <c r="Q39" i="24"/>
  <c r="O39" i="24"/>
  <c r="M39" i="24"/>
  <c r="K39" i="24"/>
  <c r="I39" i="24"/>
  <c r="G39" i="24"/>
  <c r="E39" i="24"/>
  <c r="U38" i="24"/>
  <c r="V38" i="24" s="1"/>
  <c r="S38" i="24"/>
  <c r="Q38" i="24"/>
  <c r="O38" i="24"/>
  <c r="M38" i="24"/>
  <c r="K38" i="24"/>
  <c r="I38" i="24"/>
  <c r="G38" i="24"/>
  <c r="E38" i="24"/>
  <c r="U37" i="24"/>
  <c r="V37" i="24" s="1"/>
  <c r="S37" i="24"/>
  <c r="Q37" i="24"/>
  <c r="O37" i="24"/>
  <c r="M37" i="24"/>
  <c r="K37" i="24"/>
  <c r="I37" i="24"/>
  <c r="G37" i="24"/>
  <c r="E37" i="24"/>
  <c r="U36" i="24"/>
  <c r="V36" i="24" s="1"/>
  <c r="S36" i="24"/>
  <c r="Q36" i="24"/>
  <c r="O36" i="24"/>
  <c r="M36" i="24"/>
  <c r="K36" i="24"/>
  <c r="I36" i="24"/>
  <c r="G36" i="24"/>
  <c r="E36" i="24"/>
  <c r="W36" i="24" s="1"/>
  <c r="T36" i="24" s="1"/>
  <c r="U35" i="24"/>
  <c r="V35" i="24" s="1"/>
  <c r="S35" i="24"/>
  <c r="Q35" i="24"/>
  <c r="O35" i="24"/>
  <c r="M35" i="24"/>
  <c r="K35" i="24"/>
  <c r="I35" i="24"/>
  <c r="G35" i="24"/>
  <c r="E35" i="24"/>
  <c r="U34" i="24"/>
  <c r="V34" i="24" s="1"/>
  <c r="T34" i="24"/>
  <c r="S34" i="24"/>
  <c r="Q34" i="24"/>
  <c r="O34" i="24"/>
  <c r="M34" i="24"/>
  <c r="K34" i="24"/>
  <c r="I34" i="24"/>
  <c r="G34" i="24"/>
  <c r="E34" i="24"/>
  <c r="W34" i="24" s="1"/>
  <c r="U33" i="24"/>
  <c r="V33" i="24" s="1"/>
  <c r="S33" i="24"/>
  <c r="Q33" i="24"/>
  <c r="O33" i="24"/>
  <c r="M33" i="24"/>
  <c r="K33" i="24"/>
  <c r="I33" i="24"/>
  <c r="G33" i="24"/>
  <c r="E33" i="24"/>
  <c r="U32" i="24"/>
  <c r="V32" i="24" s="1"/>
  <c r="S32" i="24"/>
  <c r="Q32" i="24"/>
  <c r="O32" i="24"/>
  <c r="M32" i="24"/>
  <c r="K32" i="24"/>
  <c r="I32" i="24"/>
  <c r="G32" i="24"/>
  <c r="E32" i="24"/>
  <c r="U31" i="24"/>
  <c r="V31" i="24" s="1"/>
  <c r="S31" i="24"/>
  <c r="Q31" i="24"/>
  <c r="O31" i="24"/>
  <c r="M31" i="24"/>
  <c r="K31" i="24"/>
  <c r="I31" i="24"/>
  <c r="G31" i="24"/>
  <c r="E31" i="24"/>
  <c r="U30" i="24"/>
  <c r="V30" i="24" s="1"/>
  <c r="S30" i="24"/>
  <c r="Q30" i="24"/>
  <c r="O30" i="24"/>
  <c r="M30" i="24"/>
  <c r="K30" i="24"/>
  <c r="I30" i="24"/>
  <c r="G30" i="24"/>
  <c r="E30" i="24"/>
  <c r="W30" i="24" s="1"/>
  <c r="T30" i="24" s="1"/>
  <c r="U29" i="24"/>
  <c r="V29" i="24" s="1"/>
  <c r="S29" i="24"/>
  <c r="Q29" i="24"/>
  <c r="O29" i="24"/>
  <c r="M29" i="24"/>
  <c r="K29" i="24"/>
  <c r="I29" i="24"/>
  <c r="G29" i="24"/>
  <c r="E29" i="24"/>
  <c r="U28" i="24"/>
  <c r="V28" i="24" s="1"/>
  <c r="T28" i="24"/>
  <c r="S28" i="24"/>
  <c r="Q28" i="24"/>
  <c r="O28" i="24"/>
  <c r="M28" i="24"/>
  <c r="K28" i="24"/>
  <c r="I28" i="24"/>
  <c r="G28" i="24"/>
  <c r="E28" i="24"/>
  <c r="W28" i="24" s="1"/>
  <c r="U27" i="24"/>
  <c r="V27" i="24" s="1"/>
  <c r="S27" i="24"/>
  <c r="Q27" i="24"/>
  <c r="O27" i="24"/>
  <c r="M27" i="24"/>
  <c r="K27" i="24"/>
  <c r="I27" i="24"/>
  <c r="G27" i="24"/>
  <c r="E27" i="24"/>
  <c r="U26" i="24"/>
  <c r="V26" i="24" s="1"/>
  <c r="S26" i="24"/>
  <c r="Q26" i="24"/>
  <c r="O26" i="24"/>
  <c r="M26" i="24"/>
  <c r="K26" i="24"/>
  <c r="I26" i="24"/>
  <c r="G26" i="24"/>
  <c r="E26" i="24"/>
  <c r="U25" i="24"/>
  <c r="V25" i="24" s="1"/>
  <c r="S25" i="24"/>
  <c r="Q25" i="24"/>
  <c r="O25" i="24"/>
  <c r="M25" i="24"/>
  <c r="K25" i="24"/>
  <c r="I25" i="24"/>
  <c r="G25" i="24"/>
  <c r="E25" i="24"/>
  <c r="U24" i="24"/>
  <c r="V24" i="24" s="1"/>
  <c r="S24" i="24"/>
  <c r="Q24" i="24"/>
  <c r="O24" i="24"/>
  <c r="M24" i="24"/>
  <c r="K24" i="24"/>
  <c r="I24" i="24"/>
  <c r="G24" i="24"/>
  <c r="E24" i="24"/>
  <c r="W24" i="24" s="1"/>
  <c r="T24" i="24" s="1"/>
  <c r="U23" i="24"/>
  <c r="V23" i="24" s="1"/>
  <c r="S23" i="24"/>
  <c r="Q23" i="24"/>
  <c r="O23" i="24"/>
  <c r="M23" i="24"/>
  <c r="K23" i="24"/>
  <c r="I23" i="24"/>
  <c r="G23" i="24"/>
  <c r="E23" i="24"/>
  <c r="U22" i="24"/>
  <c r="V22" i="24" s="1"/>
  <c r="T22" i="24"/>
  <c r="S22" i="24"/>
  <c r="Q22" i="24"/>
  <c r="O22" i="24"/>
  <c r="M22" i="24"/>
  <c r="K22" i="24"/>
  <c r="I22" i="24"/>
  <c r="G22" i="24"/>
  <c r="E22" i="24"/>
  <c r="W22" i="24" s="1"/>
  <c r="U21" i="24"/>
  <c r="V21" i="24" s="1"/>
  <c r="S21" i="24"/>
  <c r="Q21" i="24"/>
  <c r="O21" i="24"/>
  <c r="M21" i="24"/>
  <c r="K21" i="24"/>
  <c r="I21" i="24"/>
  <c r="G21" i="24"/>
  <c r="E21" i="24"/>
  <c r="U20" i="24"/>
  <c r="V20" i="24" s="1"/>
  <c r="S20" i="24"/>
  <c r="Q20" i="24"/>
  <c r="O20" i="24"/>
  <c r="M20" i="24"/>
  <c r="K20" i="24"/>
  <c r="I20" i="24"/>
  <c r="G20" i="24"/>
  <c r="E20" i="24"/>
  <c r="U19" i="24"/>
  <c r="V19" i="24" s="1"/>
  <c r="S19" i="24"/>
  <c r="Q19" i="24"/>
  <c r="O19" i="24"/>
  <c r="M19" i="24"/>
  <c r="K19" i="24"/>
  <c r="I19" i="24"/>
  <c r="G19" i="24"/>
  <c r="E19" i="24"/>
  <c r="U18" i="24"/>
  <c r="V18" i="24" s="1"/>
  <c r="S18" i="24"/>
  <c r="Q18" i="24"/>
  <c r="O18" i="24"/>
  <c r="M18" i="24"/>
  <c r="K18" i="24"/>
  <c r="I18" i="24"/>
  <c r="G18" i="24"/>
  <c r="E18" i="24"/>
  <c r="W18" i="24" s="1"/>
  <c r="T18" i="24" s="1"/>
  <c r="U17" i="24"/>
  <c r="V17" i="24" s="1"/>
  <c r="S17" i="24"/>
  <c r="Q17" i="24"/>
  <c r="O17" i="24"/>
  <c r="M17" i="24"/>
  <c r="K17" i="24"/>
  <c r="I17" i="24"/>
  <c r="G17" i="24"/>
  <c r="E17" i="24"/>
  <c r="U16" i="24"/>
  <c r="V16" i="24" s="1"/>
  <c r="T16" i="24"/>
  <c r="S16" i="24"/>
  <c r="Q16" i="24"/>
  <c r="O16" i="24"/>
  <c r="M16" i="24"/>
  <c r="K16" i="24"/>
  <c r="I16" i="24"/>
  <c r="G16" i="24"/>
  <c r="E16" i="24"/>
  <c r="W16" i="24" s="1"/>
  <c r="U15" i="24"/>
  <c r="V15" i="24" s="1"/>
  <c r="S15" i="24"/>
  <c r="Q15" i="24"/>
  <c r="O15" i="24"/>
  <c r="M15" i="24"/>
  <c r="K15" i="24"/>
  <c r="I15" i="24"/>
  <c r="G15" i="24"/>
  <c r="E15" i="24"/>
  <c r="U14" i="24"/>
  <c r="V14" i="24" s="1"/>
  <c r="S14" i="24"/>
  <c r="Q14" i="24"/>
  <c r="O14" i="24"/>
  <c r="M14" i="24"/>
  <c r="K14" i="24"/>
  <c r="I14" i="24"/>
  <c r="G14" i="24"/>
  <c r="E14" i="24"/>
  <c r="U13" i="24"/>
  <c r="V13" i="24" s="1"/>
  <c r="S13" i="24"/>
  <c r="Q13" i="24"/>
  <c r="O13" i="24"/>
  <c r="M13" i="24"/>
  <c r="K13" i="24"/>
  <c r="I13" i="24"/>
  <c r="G13" i="24"/>
  <c r="E13" i="24"/>
  <c r="U12" i="24"/>
  <c r="V12" i="24" s="1"/>
  <c r="S12" i="24"/>
  <c r="Q12" i="24"/>
  <c r="O12" i="24"/>
  <c r="M12" i="24"/>
  <c r="K12" i="24"/>
  <c r="I12" i="24"/>
  <c r="G12" i="24"/>
  <c r="E12" i="24"/>
  <c r="W12" i="24" s="1"/>
  <c r="T12" i="24" s="1"/>
  <c r="U11" i="24"/>
  <c r="V11" i="24" s="1"/>
  <c r="S11" i="24"/>
  <c r="Q11" i="24"/>
  <c r="O11" i="24"/>
  <c r="M11" i="24"/>
  <c r="K11" i="24"/>
  <c r="I11" i="24"/>
  <c r="G11" i="24"/>
  <c r="E11" i="24"/>
  <c r="U10" i="24"/>
  <c r="V10" i="24" s="1"/>
  <c r="T10" i="24"/>
  <c r="S10" i="24"/>
  <c r="Q10" i="24"/>
  <c r="O10" i="24"/>
  <c r="M10" i="24"/>
  <c r="K10" i="24"/>
  <c r="I10" i="24"/>
  <c r="G10" i="24"/>
  <c r="E10" i="24"/>
  <c r="W10" i="24" s="1"/>
  <c r="U9" i="24"/>
  <c r="V9" i="24" s="1"/>
  <c r="S9" i="24"/>
  <c r="Q9" i="24"/>
  <c r="O9" i="24"/>
  <c r="M9" i="24"/>
  <c r="K9" i="24"/>
  <c r="I9" i="24"/>
  <c r="G9" i="24"/>
  <c r="E9" i="24"/>
  <c r="U8" i="24"/>
  <c r="V8" i="24" s="1"/>
  <c r="S8" i="24"/>
  <c r="Q8" i="24"/>
  <c r="O8" i="24"/>
  <c r="M8" i="24"/>
  <c r="K8" i="24"/>
  <c r="I8" i="24"/>
  <c r="G8" i="24"/>
  <c r="E8" i="24"/>
  <c r="U7" i="24"/>
  <c r="V7" i="24" s="1"/>
  <c r="S7" i="24"/>
  <c r="Q7" i="24"/>
  <c r="O7" i="24"/>
  <c r="M7" i="24"/>
  <c r="K7" i="24"/>
  <c r="I7" i="24"/>
  <c r="G7" i="24"/>
  <c r="E7" i="24"/>
  <c r="U6" i="24"/>
  <c r="V6" i="24" s="1"/>
  <c r="S6" i="24"/>
  <c r="Q6" i="24"/>
  <c r="O6" i="24"/>
  <c r="M6" i="24"/>
  <c r="K6" i="24"/>
  <c r="I6" i="24"/>
  <c r="G6" i="24"/>
  <c r="E6" i="24"/>
  <c r="W6" i="24" s="1"/>
  <c r="T6" i="24" s="1"/>
  <c r="U5" i="24"/>
  <c r="V5" i="24" s="1"/>
  <c r="S5" i="24"/>
  <c r="Q5" i="24"/>
  <c r="O5" i="24"/>
  <c r="M5" i="24"/>
  <c r="K5" i="24"/>
  <c r="I5" i="24"/>
  <c r="G5" i="24"/>
  <c r="E5" i="24"/>
  <c r="U15" i="23"/>
  <c r="V15" i="23" s="1"/>
  <c r="T15" i="23" s="1"/>
  <c r="S15" i="23"/>
  <c r="Q15" i="23"/>
  <c r="O15" i="23"/>
  <c r="M15" i="23"/>
  <c r="K15" i="23"/>
  <c r="I15" i="23"/>
  <c r="G15" i="23"/>
  <c r="W15" i="23" s="1"/>
  <c r="E15" i="23"/>
  <c r="V14" i="23"/>
  <c r="U14" i="23"/>
  <c r="S14" i="23"/>
  <c r="Q14" i="23"/>
  <c r="O14" i="23"/>
  <c r="M14" i="23"/>
  <c r="K14" i="23"/>
  <c r="I14" i="23"/>
  <c r="G14" i="23"/>
  <c r="E14" i="23"/>
  <c r="U13" i="23"/>
  <c r="S13" i="23"/>
  <c r="Q13" i="23"/>
  <c r="O13" i="23"/>
  <c r="M13" i="23"/>
  <c r="V13" i="23" s="1"/>
  <c r="K13" i="23"/>
  <c r="I13" i="23"/>
  <c r="G13" i="23"/>
  <c r="E13" i="23"/>
  <c r="U12" i="23"/>
  <c r="S12" i="23"/>
  <c r="Q12" i="23"/>
  <c r="O12" i="23"/>
  <c r="M12" i="23"/>
  <c r="V12" i="23" s="1"/>
  <c r="T12" i="23" s="1"/>
  <c r="K12" i="23"/>
  <c r="I12" i="23"/>
  <c r="G12" i="23"/>
  <c r="W12" i="23" s="1"/>
  <c r="E12" i="23"/>
  <c r="U11" i="23"/>
  <c r="S11" i="23"/>
  <c r="Q11" i="23"/>
  <c r="O11" i="23"/>
  <c r="M11" i="23"/>
  <c r="V11" i="23" s="1"/>
  <c r="K11" i="23"/>
  <c r="I11" i="23"/>
  <c r="G11" i="23"/>
  <c r="E11" i="23"/>
  <c r="V10" i="23"/>
  <c r="T10" i="23" s="1"/>
  <c r="U10" i="23"/>
  <c r="S10" i="23"/>
  <c r="Q10" i="23"/>
  <c r="O10" i="23"/>
  <c r="M10" i="23"/>
  <c r="K10" i="23"/>
  <c r="I10" i="23"/>
  <c r="G10" i="23"/>
  <c r="W10" i="23" s="1"/>
  <c r="E10" i="23"/>
  <c r="U9" i="23"/>
  <c r="V9" i="23" s="1"/>
  <c r="T9" i="23" s="1"/>
  <c r="S9" i="23"/>
  <c r="Q9" i="23"/>
  <c r="O9" i="23"/>
  <c r="M9" i="23"/>
  <c r="K9" i="23"/>
  <c r="I9" i="23"/>
  <c r="G9" i="23"/>
  <c r="W9" i="23" s="1"/>
  <c r="E9" i="23"/>
  <c r="V8" i="23"/>
  <c r="U8" i="23"/>
  <c r="S8" i="23"/>
  <c r="Q8" i="23"/>
  <c r="O8" i="23"/>
  <c r="M8" i="23"/>
  <c r="K8" i="23"/>
  <c r="I8" i="23"/>
  <c r="G8" i="23"/>
  <c r="E8" i="23"/>
  <c r="U7" i="23"/>
  <c r="S7" i="23"/>
  <c r="Q7" i="23"/>
  <c r="O7" i="23"/>
  <c r="M7" i="23"/>
  <c r="V7" i="23" s="1"/>
  <c r="K7" i="23"/>
  <c r="I7" i="23"/>
  <c r="G7" i="23"/>
  <c r="E7" i="23"/>
  <c r="U6" i="23"/>
  <c r="S6" i="23"/>
  <c r="Q6" i="23"/>
  <c r="O6" i="23"/>
  <c r="M6" i="23"/>
  <c r="V6" i="23" s="1"/>
  <c r="K6" i="23"/>
  <c r="I6" i="23"/>
  <c r="G6" i="23"/>
  <c r="W6" i="23" s="1"/>
  <c r="E6" i="23"/>
  <c r="U5" i="23"/>
  <c r="S5" i="23"/>
  <c r="Q5" i="23"/>
  <c r="O5" i="23"/>
  <c r="M5" i="23"/>
  <c r="V5" i="23" s="1"/>
  <c r="K5" i="23"/>
  <c r="I5" i="23"/>
  <c r="G5" i="23"/>
  <c r="E5" i="23"/>
  <c r="V12" i="22"/>
  <c r="T12" i="22" s="1"/>
  <c r="U12" i="22"/>
  <c r="S12" i="22"/>
  <c r="Q12" i="22"/>
  <c r="O12" i="22"/>
  <c r="M12" i="22"/>
  <c r="K12" i="22"/>
  <c r="I12" i="22"/>
  <c r="G12" i="22"/>
  <c r="W12" i="22" s="1"/>
  <c r="E12" i="22"/>
  <c r="W9" i="22"/>
  <c r="S9" i="22"/>
  <c r="Q9" i="22"/>
  <c r="O9" i="22"/>
  <c r="M9" i="22"/>
  <c r="K9" i="22"/>
  <c r="I9" i="22"/>
  <c r="G9" i="22"/>
  <c r="E9" i="22"/>
  <c r="W8" i="22"/>
  <c r="S8" i="22"/>
  <c r="Q8" i="22"/>
  <c r="O8" i="22"/>
  <c r="U8" i="22" s="1"/>
  <c r="V8" i="22" s="1"/>
  <c r="T8" i="22" s="1"/>
  <c r="M8" i="22"/>
  <c r="K8" i="22"/>
  <c r="I8" i="22"/>
  <c r="G8" i="22"/>
  <c r="E8" i="22"/>
  <c r="W7" i="22"/>
  <c r="S7" i="22"/>
  <c r="Q7" i="22"/>
  <c r="O7" i="22"/>
  <c r="M7" i="22"/>
  <c r="K7" i="22"/>
  <c r="I7" i="22"/>
  <c r="G7" i="22"/>
  <c r="E7" i="22"/>
  <c r="S6" i="22"/>
  <c r="Q6" i="22"/>
  <c r="O6" i="22"/>
  <c r="M6" i="22"/>
  <c r="K6" i="22"/>
  <c r="I6" i="22"/>
  <c r="W6" i="22" s="1"/>
  <c r="G6" i="22"/>
  <c r="E6" i="22"/>
  <c r="S5" i="22"/>
  <c r="Q5" i="22"/>
  <c r="O5" i="22"/>
  <c r="U5" i="22" s="1"/>
  <c r="M5" i="22"/>
  <c r="K5" i="22"/>
  <c r="I5" i="22"/>
  <c r="W5" i="22" s="1"/>
  <c r="G5" i="22"/>
  <c r="E5" i="22"/>
  <c r="S15" i="21"/>
  <c r="Q15" i="21"/>
  <c r="O15" i="21"/>
  <c r="U15" i="21" s="1"/>
  <c r="M15" i="21"/>
  <c r="V15" i="21" s="1"/>
  <c r="K15" i="21"/>
  <c r="I15" i="21"/>
  <c r="G15" i="21"/>
  <c r="E15" i="21"/>
  <c r="W15" i="21" s="1"/>
  <c r="S14" i="21"/>
  <c r="Q14" i="21"/>
  <c r="O14" i="21"/>
  <c r="U14" i="21" s="1"/>
  <c r="M14" i="21"/>
  <c r="K14" i="21"/>
  <c r="I14" i="21"/>
  <c r="G14" i="21"/>
  <c r="E14" i="21"/>
  <c r="W14" i="21" s="1"/>
  <c r="S11" i="21"/>
  <c r="Q11" i="21"/>
  <c r="U11" i="21" s="1"/>
  <c r="O11" i="21"/>
  <c r="M11" i="21"/>
  <c r="K11" i="21"/>
  <c r="I11" i="21"/>
  <c r="G11" i="21"/>
  <c r="E11" i="21"/>
  <c r="W11" i="21" s="1"/>
  <c r="S10" i="21"/>
  <c r="Q10" i="21"/>
  <c r="U10" i="21" s="1"/>
  <c r="O10" i="21"/>
  <c r="M10" i="21"/>
  <c r="K10" i="21"/>
  <c r="I10" i="21"/>
  <c r="G10" i="21"/>
  <c r="E10" i="21"/>
  <c r="W10" i="21" s="1"/>
  <c r="S9" i="21"/>
  <c r="Q9" i="21"/>
  <c r="U9" i="21" s="1"/>
  <c r="O9" i="21"/>
  <c r="M9" i="21"/>
  <c r="V9" i="21" s="1"/>
  <c r="K9" i="21"/>
  <c r="I9" i="21"/>
  <c r="G9" i="21"/>
  <c r="E9" i="21"/>
  <c r="W9" i="21" s="1"/>
  <c r="S8" i="21"/>
  <c r="Q8" i="21"/>
  <c r="U8" i="21" s="1"/>
  <c r="O8" i="21"/>
  <c r="M8" i="21"/>
  <c r="K8" i="21"/>
  <c r="I8" i="21"/>
  <c r="G8" i="21"/>
  <c r="E8" i="21"/>
  <c r="S7" i="21"/>
  <c r="Q7" i="21"/>
  <c r="U7" i="21" s="1"/>
  <c r="O7" i="21"/>
  <c r="M7" i="21"/>
  <c r="K7" i="21"/>
  <c r="I7" i="21"/>
  <c r="G7" i="21"/>
  <c r="E7" i="21"/>
  <c r="W7" i="21" s="1"/>
  <c r="S6" i="21"/>
  <c r="Q6" i="21"/>
  <c r="U6" i="21" s="1"/>
  <c r="O6" i="21"/>
  <c r="M6" i="21"/>
  <c r="K6" i="21"/>
  <c r="I6" i="21"/>
  <c r="G6" i="21"/>
  <c r="E6" i="21"/>
  <c r="W6" i="21" s="1"/>
  <c r="S5" i="21"/>
  <c r="Q5" i="21"/>
  <c r="U5" i="21" s="1"/>
  <c r="O5" i="21"/>
  <c r="M5" i="21"/>
  <c r="V5" i="21" s="1"/>
  <c r="K5" i="21"/>
  <c r="I5" i="21"/>
  <c r="G5" i="21"/>
  <c r="E5" i="21"/>
  <c r="S10" i="20"/>
  <c r="Q10" i="20"/>
  <c r="O10" i="20"/>
  <c r="M10" i="20"/>
  <c r="K10" i="20"/>
  <c r="I10" i="20"/>
  <c r="G10" i="20"/>
  <c r="E10" i="20"/>
  <c r="V9" i="20"/>
  <c r="S9" i="20"/>
  <c r="Q9" i="20"/>
  <c r="O9" i="20"/>
  <c r="U9" i="20" s="1"/>
  <c r="M9" i="20"/>
  <c r="K9" i="20"/>
  <c r="I9" i="20"/>
  <c r="G9" i="20"/>
  <c r="E9" i="20"/>
  <c r="S8" i="20"/>
  <c r="Q8" i="20"/>
  <c r="O8" i="20"/>
  <c r="M8" i="20"/>
  <c r="K8" i="20"/>
  <c r="I8" i="20"/>
  <c r="G8" i="20"/>
  <c r="W8" i="20" s="1"/>
  <c r="E8" i="20"/>
  <c r="S7" i="20"/>
  <c r="Q7" i="20"/>
  <c r="O7" i="20"/>
  <c r="M7" i="20"/>
  <c r="K7" i="20"/>
  <c r="I7" i="20"/>
  <c r="G7" i="20"/>
  <c r="W7" i="20" s="1"/>
  <c r="E7" i="20"/>
  <c r="S6" i="20"/>
  <c r="Q6" i="20"/>
  <c r="O6" i="20"/>
  <c r="M6" i="20"/>
  <c r="K6" i="20"/>
  <c r="I6" i="20"/>
  <c r="G6" i="20"/>
  <c r="E6" i="20"/>
  <c r="S5" i="20"/>
  <c r="Q5" i="20"/>
  <c r="O5" i="20"/>
  <c r="U5" i="20" s="1"/>
  <c r="V5" i="20" s="1"/>
  <c r="T5" i="20" s="1"/>
  <c r="M5" i="20"/>
  <c r="K5" i="20"/>
  <c r="I5" i="20"/>
  <c r="G5" i="20"/>
  <c r="W5" i="20" s="1"/>
  <c r="E5" i="20"/>
  <c r="U14" i="19"/>
  <c r="V14" i="19" s="1"/>
  <c r="S14" i="19"/>
  <c r="Q14" i="19"/>
  <c r="O14" i="19"/>
  <c r="M14" i="19"/>
  <c r="K14" i="19"/>
  <c r="I14" i="19"/>
  <c r="W14" i="19" s="1"/>
  <c r="T14" i="19" s="1"/>
  <c r="G14" i="19"/>
  <c r="E14" i="19"/>
  <c r="W13" i="19"/>
  <c r="U13" i="19"/>
  <c r="V13" i="19" s="1"/>
  <c r="S13" i="19"/>
  <c r="Q13" i="19"/>
  <c r="O13" i="19"/>
  <c r="M13" i="19"/>
  <c r="K13" i="19"/>
  <c r="I13" i="19"/>
  <c r="G13" i="19"/>
  <c r="E13" i="19"/>
  <c r="U12" i="19"/>
  <c r="V12" i="19" s="1"/>
  <c r="S12" i="19"/>
  <c r="Q12" i="19"/>
  <c r="O12" i="19"/>
  <c r="M12" i="19"/>
  <c r="K12" i="19"/>
  <c r="W12" i="19" s="1"/>
  <c r="I12" i="19"/>
  <c r="G12" i="19"/>
  <c r="E12" i="19"/>
  <c r="U11" i="19"/>
  <c r="V11" i="19" s="1"/>
  <c r="T11" i="19"/>
  <c r="S11" i="19"/>
  <c r="Q11" i="19"/>
  <c r="O11" i="19"/>
  <c r="M11" i="19"/>
  <c r="K11" i="19"/>
  <c r="I11" i="19"/>
  <c r="W11" i="19" s="1"/>
  <c r="G11" i="19"/>
  <c r="E11" i="19"/>
  <c r="W10" i="19"/>
  <c r="T10" i="19" s="1"/>
  <c r="U10" i="19"/>
  <c r="V10" i="19" s="1"/>
  <c r="S10" i="19"/>
  <c r="Q10" i="19"/>
  <c r="O10" i="19"/>
  <c r="M10" i="19"/>
  <c r="K10" i="19"/>
  <c r="I10" i="19"/>
  <c r="G10" i="19"/>
  <c r="E10" i="19"/>
  <c r="W9" i="19"/>
  <c r="U9" i="19"/>
  <c r="V9" i="19" s="1"/>
  <c r="T9" i="19" s="1"/>
  <c r="S9" i="19"/>
  <c r="Q9" i="19"/>
  <c r="O9" i="19"/>
  <c r="M9" i="19"/>
  <c r="K9" i="19"/>
  <c r="I9" i="19"/>
  <c r="G9" i="19"/>
  <c r="E9" i="19"/>
  <c r="W8" i="19"/>
  <c r="S8" i="19"/>
  <c r="Q8" i="19"/>
  <c r="U8" i="19" s="1"/>
  <c r="V8" i="19" s="1"/>
  <c r="T8" i="19" s="1"/>
  <c r="O8" i="19"/>
  <c r="M8" i="19"/>
  <c r="K8" i="19"/>
  <c r="I8" i="19"/>
  <c r="G8" i="19"/>
  <c r="E8" i="19"/>
  <c r="W7" i="19"/>
  <c r="U7" i="19"/>
  <c r="V7" i="19" s="1"/>
  <c r="T7" i="19"/>
  <c r="S7" i="19"/>
  <c r="Q7" i="19"/>
  <c r="O7" i="19"/>
  <c r="M7" i="19"/>
  <c r="K7" i="19"/>
  <c r="I7" i="19"/>
  <c r="G7" i="19"/>
  <c r="E7" i="19"/>
  <c r="S6" i="19"/>
  <c r="Q6" i="19"/>
  <c r="U6" i="19" s="1"/>
  <c r="V6" i="19" s="1"/>
  <c r="O6" i="19"/>
  <c r="M6" i="19"/>
  <c r="K6" i="19"/>
  <c r="I6" i="19"/>
  <c r="G6" i="19"/>
  <c r="E6" i="19"/>
  <c r="S5" i="19"/>
  <c r="Q5" i="19"/>
  <c r="U5" i="19" s="1"/>
  <c r="V5" i="19" s="1"/>
  <c r="O5" i="19"/>
  <c r="M5" i="19"/>
  <c r="K5" i="19"/>
  <c r="I5" i="19"/>
  <c r="G5" i="19"/>
  <c r="E5" i="19"/>
  <c r="S14" i="18"/>
  <c r="U14" i="18" s="1"/>
  <c r="Q14" i="18"/>
  <c r="O14" i="18"/>
  <c r="M14" i="18"/>
  <c r="V14" i="18" s="1"/>
  <c r="K14" i="18"/>
  <c r="I14" i="18"/>
  <c r="G14" i="18"/>
  <c r="E14" i="18"/>
  <c r="S13" i="18"/>
  <c r="U13" i="18" s="1"/>
  <c r="Q13" i="18"/>
  <c r="O13" i="18"/>
  <c r="M13" i="18"/>
  <c r="V13" i="18" s="1"/>
  <c r="T13" i="18" s="1"/>
  <c r="K13" i="18"/>
  <c r="W13" i="18" s="1"/>
  <c r="I13" i="18"/>
  <c r="G13" i="18"/>
  <c r="E13" i="18"/>
  <c r="S12" i="18"/>
  <c r="U12" i="18" s="1"/>
  <c r="Q12" i="18"/>
  <c r="O12" i="18"/>
  <c r="M12" i="18"/>
  <c r="K12" i="18"/>
  <c r="W12" i="18" s="1"/>
  <c r="I12" i="18"/>
  <c r="G12" i="18"/>
  <c r="E12" i="18"/>
  <c r="S11" i="18"/>
  <c r="U11" i="18" s="1"/>
  <c r="Q11" i="18"/>
  <c r="O11" i="18"/>
  <c r="M11" i="18"/>
  <c r="V11" i="18" s="1"/>
  <c r="K11" i="18"/>
  <c r="W11" i="18" s="1"/>
  <c r="I11" i="18"/>
  <c r="G11" i="18"/>
  <c r="E11" i="18"/>
  <c r="S10" i="18"/>
  <c r="U10" i="18" s="1"/>
  <c r="Q10" i="18"/>
  <c r="O10" i="18"/>
  <c r="M10" i="18"/>
  <c r="V10" i="18" s="1"/>
  <c r="T10" i="18" s="1"/>
  <c r="K10" i="18"/>
  <c r="W10" i="18" s="1"/>
  <c r="I10" i="18"/>
  <c r="G10" i="18"/>
  <c r="E10" i="18"/>
  <c r="S9" i="18"/>
  <c r="U9" i="18" s="1"/>
  <c r="Q9" i="18"/>
  <c r="O9" i="18"/>
  <c r="M9" i="18"/>
  <c r="K9" i="18"/>
  <c r="W9" i="18" s="1"/>
  <c r="I9" i="18"/>
  <c r="G9" i="18"/>
  <c r="E9" i="18"/>
  <c r="S8" i="18"/>
  <c r="U8" i="18" s="1"/>
  <c r="Q8" i="18"/>
  <c r="O8" i="18"/>
  <c r="M8" i="18"/>
  <c r="V8" i="18" s="1"/>
  <c r="K8" i="18"/>
  <c r="W8" i="18" s="1"/>
  <c r="I8" i="18"/>
  <c r="G8" i="18"/>
  <c r="E8" i="18"/>
  <c r="S7" i="18"/>
  <c r="U7" i="18" s="1"/>
  <c r="Q7" i="18"/>
  <c r="O7" i="18"/>
  <c r="M7" i="18"/>
  <c r="V7" i="18" s="1"/>
  <c r="T7" i="18" s="1"/>
  <c r="K7" i="18"/>
  <c r="W7" i="18" s="1"/>
  <c r="I7" i="18"/>
  <c r="G7" i="18"/>
  <c r="E7" i="18"/>
  <c r="S6" i="18"/>
  <c r="U6" i="18" s="1"/>
  <c r="Q6" i="18"/>
  <c r="O6" i="18"/>
  <c r="M6" i="18"/>
  <c r="K6" i="18"/>
  <c r="W6" i="18" s="1"/>
  <c r="I6" i="18"/>
  <c r="G6" i="18"/>
  <c r="E6" i="18"/>
  <c r="S5" i="18"/>
  <c r="U5" i="18" s="1"/>
  <c r="Q5" i="18"/>
  <c r="O5" i="18"/>
  <c r="M5" i="18"/>
  <c r="V5" i="18" s="1"/>
  <c r="K5" i="18"/>
  <c r="W5" i="18" s="1"/>
  <c r="I5" i="18"/>
  <c r="G5" i="18"/>
  <c r="E5" i="18"/>
  <c r="S11" i="17"/>
  <c r="Q11" i="17"/>
  <c r="O11" i="17"/>
  <c r="U11" i="17" s="1"/>
  <c r="M11" i="17"/>
  <c r="K11" i="17"/>
  <c r="I11" i="17"/>
  <c r="G11" i="17"/>
  <c r="E11" i="17"/>
  <c r="W11" i="17" s="1"/>
  <c r="S10" i="17"/>
  <c r="Q10" i="17"/>
  <c r="O10" i="17"/>
  <c r="U10" i="17" s="1"/>
  <c r="M10" i="17"/>
  <c r="K10" i="17"/>
  <c r="I10" i="17"/>
  <c r="G10" i="17"/>
  <c r="E10" i="17"/>
  <c r="W10" i="17" s="1"/>
  <c r="S9" i="17"/>
  <c r="Q9" i="17"/>
  <c r="O9" i="17"/>
  <c r="U9" i="17" s="1"/>
  <c r="M9" i="17"/>
  <c r="V9" i="17" s="1"/>
  <c r="K9" i="17"/>
  <c r="I9" i="17"/>
  <c r="G9" i="17"/>
  <c r="E9" i="17"/>
  <c r="W9" i="17" s="1"/>
  <c r="T9" i="17" s="1"/>
  <c r="S8" i="17"/>
  <c r="Q8" i="17"/>
  <c r="O8" i="17"/>
  <c r="U8" i="17" s="1"/>
  <c r="M8" i="17"/>
  <c r="V8" i="17" s="1"/>
  <c r="K8" i="17"/>
  <c r="I8" i="17"/>
  <c r="G8" i="17"/>
  <c r="E8" i="17"/>
  <c r="S7" i="17"/>
  <c r="Q7" i="17"/>
  <c r="O7" i="17"/>
  <c r="U7" i="17" s="1"/>
  <c r="M7" i="17"/>
  <c r="K7" i="17"/>
  <c r="I7" i="17"/>
  <c r="G7" i="17"/>
  <c r="E7" i="17"/>
  <c r="W7" i="17" s="1"/>
  <c r="S6" i="17"/>
  <c r="Q6" i="17"/>
  <c r="O6" i="17"/>
  <c r="U6" i="17" s="1"/>
  <c r="M6" i="17"/>
  <c r="K6" i="17"/>
  <c r="I6" i="17"/>
  <c r="G6" i="17"/>
  <c r="E6" i="17"/>
  <c r="W6" i="17" s="1"/>
  <c r="S5" i="17"/>
  <c r="Q5" i="17"/>
  <c r="O5" i="17"/>
  <c r="U5" i="17" s="1"/>
  <c r="M5" i="17"/>
  <c r="V5" i="17" s="1"/>
  <c r="K5" i="17"/>
  <c r="I5" i="17"/>
  <c r="G5" i="17"/>
  <c r="E5" i="17"/>
  <c r="W5" i="17" s="1"/>
  <c r="T5" i="17" s="1"/>
  <c r="S18" i="16"/>
  <c r="Q18" i="16"/>
  <c r="U18" i="16" s="1"/>
  <c r="O18" i="16"/>
  <c r="M18" i="16"/>
  <c r="K18" i="16"/>
  <c r="I18" i="16"/>
  <c r="G18" i="16"/>
  <c r="E18" i="16"/>
  <c r="S17" i="16"/>
  <c r="Q17" i="16"/>
  <c r="O17" i="16"/>
  <c r="U17" i="16" s="1"/>
  <c r="M17" i="16"/>
  <c r="V17" i="16" s="1"/>
  <c r="K17" i="16"/>
  <c r="I17" i="16"/>
  <c r="G17" i="16"/>
  <c r="E17" i="16"/>
  <c r="W16" i="16"/>
  <c r="S16" i="16"/>
  <c r="Q16" i="16"/>
  <c r="O16" i="16"/>
  <c r="M16" i="16"/>
  <c r="K16" i="16"/>
  <c r="I16" i="16"/>
  <c r="G16" i="16"/>
  <c r="E16" i="16"/>
  <c r="S15" i="16"/>
  <c r="Q15" i="16"/>
  <c r="O15" i="16"/>
  <c r="U15" i="16" s="1"/>
  <c r="V15" i="16" s="1"/>
  <c r="T15" i="16" s="1"/>
  <c r="M15" i="16"/>
  <c r="K15" i="16"/>
  <c r="I15" i="16"/>
  <c r="G15" i="16"/>
  <c r="E15" i="16"/>
  <c r="W15" i="16" s="1"/>
  <c r="U14" i="16"/>
  <c r="S14" i="16"/>
  <c r="Q14" i="16"/>
  <c r="O14" i="16"/>
  <c r="M14" i="16"/>
  <c r="K14" i="16"/>
  <c r="W14" i="16" s="1"/>
  <c r="I14" i="16"/>
  <c r="G14" i="16"/>
  <c r="E14" i="16"/>
  <c r="S13" i="16"/>
  <c r="Q13" i="16"/>
  <c r="U13" i="16" s="1"/>
  <c r="V13" i="16" s="1"/>
  <c r="T13" i="16" s="1"/>
  <c r="O13" i="16"/>
  <c r="M13" i="16"/>
  <c r="K13" i="16"/>
  <c r="I13" i="16"/>
  <c r="G13" i="16"/>
  <c r="W13" i="16" s="1"/>
  <c r="E13" i="16"/>
  <c r="S12" i="16"/>
  <c r="Q12" i="16"/>
  <c r="U12" i="16" s="1"/>
  <c r="V12" i="16" s="1"/>
  <c r="O12" i="16"/>
  <c r="M12" i="16"/>
  <c r="K12" i="16"/>
  <c r="I12" i="16"/>
  <c r="G12" i="16"/>
  <c r="E12" i="16"/>
  <c r="W11" i="16"/>
  <c r="S11" i="16"/>
  <c r="Q11" i="16"/>
  <c r="O11" i="16"/>
  <c r="U11" i="16" s="1"/>
  <c r="M11" i="16"/>
  <c r="K11" i="16"/>
  <c r="I11" i="16"/>
  <c r="G11" i="16"/>
  <c r="E11" i="16"/>
  <c r="V10" i="16"/>
  <c r="S10" i="16"/>
  <c r="Q10" i="16"/>
  <c r="U10" i="16" s="1"/>
  <c r="O10" i="16"/>
  <c r="M10" i="16"/>
  <c r="K10" i="16"/>
  <c r="I10" i="16"/>
  <c r="G10" i="16"/>
  <c r="E10" i="16"/>
  <c r="W10" i="16" s="1"/>
  <c r="W9" i="16"/>
  <c r="S9" i="16"/>
  <c r="Q9" i="16"/>
  <c r="U9" i="16" s="1"/>
  <c r="V9" i="16" s="1"/>
  <c r="T9" i="16" s="1"/>
  <c r="O9" i="16"/>
  <c r="M9" i="16"/>
  <c r="K9" i="16"/>
  <c r="I9" i="16"/>
  <c r="G9" i="16"/>
  <c r="E9" i="16"/>
  <c r="W8" i="16"/>
  <c r="S8" i="16"/>
  <c r="Q8" i="16"/>
  <c r="U8" i="16" s="1"/>
  <c r="V8" i="16" s="1"/>
  <c r="T8" i="16" s="1"/>
  <c r="O8" i="16"/>
  <c r="M8" i="16"/>
  <c r="K8" i="16"/>
  <c r="I8" i="16"/>
  <c r="G8" i="16"/>
  <c r="E8" i="16"/>
  <c r="W7" i="16"/>
  <c r="S7" i="16"/>
  <c r="Q7" i="16"/>
  <c r="U7" i="16" s="1"/>
  <c r="V7" i="16" s="1"/>
  <c r="T7" i="16" s="1"/>
  <c r="O7" i="16"/>
  <c r="M7" i="16"/>
  <c r="K7" i="16"/>
  <c r="I7" i="16"/>
  <c r="G7" i="16"/>
  <c r="E7" i="16"/>
  <c r="W6" i="16"/>
  <c r="S6" i="16"/>
  <c r="Q6" i="16"/>
  <c r="U6" i="16" s="1"/>
  <c r="V6" i="16" s="1"/>
  <c r="T6" i="16" s="1"/>
  <c r="O6" i="16"/>
  <c r="M6" i="16"/>
  <c r="K6" i="16"/>
  <c r="I6" i="16"/>
  <c r="G6" i="16"/>
  <c r="E6" i="16"/>
  <c r="W5" i="16"/>
  <c r="S5" i="16"/>
  <c r="Q5" i="16"/>
  <c r="U5" i="16" s="1"/>
  <c r="V5" i="16" s="1"/>
  <c r="T5" i="16" s="1"/>
  <c r="O5" i="16"/>
  <c r="M5" i="16"/>
  <c r="K5" i="16"/>
  <c r="I5" i="16"/>
  <c r="G5" i="16"/>
  <c r="E5" i="16"/>
  <c r="W10" i="15"/>
  <c r="S10" i="15"/>
  <c r="Q10" i="15"/>
  <c r="U10" i="15" s="1"/>
  <c r="V10" i="15" s="1"/>
  <c r="T10" i="15" s="1"/>
  <c r="O10" i="15"/>
  <c r="M10" i="15"/>
  <c r="K10" i="15"/>
  <c r="I10" i="15"/>
  <c r="G10" i="15"/>
  <c r="E10" i="15"/>
  <c r="W9" i="15"/>
  <c r="S9" i="15"/>
  <c r="Q9" i="15"/>
  <c r="U9" i="15" s="1"/>
  <c r="V9" i="15" s="1"/>
  <c r="T9" i="15" s="1"/>
  <c r="O9" i="15"/>
  <c r="M9" i="15"/>
  <c r="K9" i="15"/>
  <c r="I9" i="15"/>
  <c r="G9" i="15"/>
  <c r="E9" i="15"/>
  <c r="W8" i="15"/>
  <c r="S8" i="15"/>
  <c r="Q8" i="15"/>
  <c r="U8" i="15" s="1"/>
  <c r="V8" i="15" s="1"/>
  <c r="T8" i="15" s="1"/>
  <c r="O8" i="15"/>
  <c r="M8" i="15"/>
  <c r="K8" i="15"/>
  <c r="I8" i="15"/>
  <c r="G8" i="15"/>
  <c r="E8" i="15"/>
  <c r="W7" i="15"/>
  <c r="S7" i="15"/>
  <c r="Q7" i="15"/>
  <c r="U7" i="15" s="1"/>
  <c r="V7" i="15" s="1"/>
  <c r="T7" i="15" s="1"/>
  <c r="O7" i="15"/>
  <c r="M7" i="15"/>
  <c r="K7" i="15"/>
  <c r="I7" i="15"/>
  <c r="G7" i="15"/>
  <c r="E7" i="15"/>
  <c r="W6" i="15"/>
  <c r="S6" i="15"/>
  <c r="Q6" i="15"/>
  <c r="U6" i="15" s="1"/>
  <c r="V6" i="15" s="1"/>
  <c r="T6" i="15" s="1"/>
  <c r="O6" i="15"/>
  <c r="M6" i="15"/>
  <c r="K6" i="15"/>
  <c r="I6" i="15"/>
  <c r="G6" i="15"/>
  <c r="E6" i="15"/>
  <c r="W5" i="15"/>
  <c r="S5" i="15"/>
  <c r="Q5" i="15"/>
  <c r="U5" i="15" s="1"/>
  <c r="V5" i="15" s="1"/>
  <c r="T5" i="15" s="1"/>
  <c r="O5" i="15"/>
  <c r="M5" i="15"/>
  <c r="K5" i="15"/>
  <c r="I5" i="15"/>
  <c r="G5" i="15"/>
  <c r="E5" i="15"/>
  <c r="W14" i="14"/>
  <c r="S14" i="14"/>
  <c r="Q14" i="14"/>
  <c r="U14" i="14" s="1"/>
  <c r="V14" i="14" s="1"/>
  <c r="T14" i="14" s="1"/>
  <c r="O14" i="14"/>
  <c r="M14" i="14"/>
  <c r="K14" i="14"/>
  <c r="I14" i="14"/>
  <c r="G14" i="14"/>
  <c r="E14" i="14"/>
  <c r="W13" i="14"/>
  <c r="S13" i="14"/>
  <c r="Q13" i="14"/>
  <c r="O13" i="14"/>
  <c r="U13" i="14" s="1"/>
  <c r="V13" i="14" s="1"/>
  <c r="T13" i="14" s="1"/>
  <c r="M13" i="14"/>
  <c r="K13" i="14"/>
  <c r="I13" i="14"/>
  <c r="G13" i="14"/>
  <c r="E13" i="14"/>
  <c r="S12" i="14"/>
  <c r="Q12" i="14"/>
  <c r="U12" i="14" s="1"/>
  <c r="V12" i="14" s="1"/>
  <c r="O12" i="14"/>
  <c r="M12" i="14"/>
  <c r="K12" i="14"/>
  <c r="I12" i="14"/>
  <c r="G12" i="14"/>
  <c r="E12" i="14"/>
  <c r="S11" i="14"/>
  <c r="Q11" i="14"/>
  <c r="O11" i="14"/>
  <c r="U11" i="14" s="1"/>
  <c r="M11" i="14"/>
  <c r="K11" i="14"/>
  <c r="I11" i="14"/>
  <c r="G11" i="14"/>
  <c r="E11" i="14"/>
  <c r="W11" i="14" s="1"/>
  <c r="S10" i="14"/>
  <c r="Q10" i="14"/>
  <c r="O10" i="14"/>
  <c r="U10" i="14" s="1"/>
  <c r="M10" i="14"/>
  <c r="K10" i="14"/>
  <c r="I10" i="14"/>
  <c r="G10" i="14"/>
  <c r="W10" i="14" s="1"/>
  <c r="E10" i="14"/>
  <c r="S9" i="14"/>
  <c r="Q9" i="14"/>
  <c r="O9" i="14"/>
  <c r="M9" i="14"/>
  <c r="K9" i="14"/>
  <c r="I9" i="14"/>
  <c r="G9" i="14"/>
  <c r="E9" i="14"/>
  <c r="W9" i="14" s="1"/>
  <c r="S8" i="14"/>
  <c r="Q8" i="14"/>
  <c r="O8" i="14"/>
  <c r="U8" i="14" s="1"/>
  <c r="V8" i="14" s="1"/>
  <c r="T8" i="14" s="1"/>
  <c r="M8" i="14"/>
  <c r="K8" i="14"/>
  <c r="I8" i="14"/>
  <c r="G8" i="14"/>
  <c r="E8" i="14"/>
  <c r="W8" i="14" s="1"/>
  <c r="U7" i="14"/>
  <c r="S7" i="14"/>
  <c r="Q7" i="14"/>
  <c r="O7" i="14"/>
  <c r="M7" i="14"/>
  <c r="K7" i="14"/>
  <c r="W7" i="14" s="1"/>
  <c r="I7" i="14"/>
  <c r="G7" i="14"/>
  <c r="E7" i="14"/>
  <c r="S6" i="14"/>
  <c r="Q6" i="14"/>
  <c r="U6" i="14" s="1"/>
  <c r="V6" i="14" s="1"/>
  <c r="O6" i="14"/>
  <c r="M6" i="14"/>
  <c r="K6" i="14"/>
  <c r="I6" i="14"/>
  <c r="G6" i="14"/>
  <c r="W6" i="14" s="1"/>
  <c r="E6" i="14"/>
  <c r="S5" i="14"/>
  <c r="Q5" i="14"/>
  <c r="O5" i="14"/>
  <c r="U5" i="14" s="1"/>
  <c r="V5" i="14" s="1"/>
  <c r="M5" i="14"/>
  <c r="K5" i="14"/>
  <c r="I5" i="14"/>
  <c r="G5" i="14"/>
  <c r="E5" i="14"/>
  <c r="S17" i="13"/>
  <c r="Q17" i="13"/>
  <c r="O17" i="13"/>
  <c r="M17" i="13"/>
  <c r="K17" i="13"/>
  <c r="I17" i="13"/>
  <c r="G17" i="13"/>
  <c r="E17" i="13"/>
  <c r="S13" i="13"/>
  <c r="Q13" i="13"/>
  <c r="U13" i="13" s="1"/>
  <c r="V13" i="13" s="1"/>
  <c r="T13" i="13" s="1"/>
  <c r="O13" i="13"/>
  <c r="M13" i="13"/>
  <c r="K13" i="13"/>
  <c r="I13" i="13"/>
  <c r="G13" i="13"/>
  <c r="E13" i="13"/>
  <c r="W13" i="13" s="1"/>
  <c r="S12" i="13"/>
  <c r="U12" i="13" s="1"/>
  <c r="V12" i="13" s="1"/>
  <c r="T12" i="13" s="1"/>
  <c r="Q12" i="13"/>
  <c r="O12" i="13"/>
  <c r="M12" i="13"/>
  <c r="K12" i="13"/>
  <c r="I12" i="13"/>
  <c r="G12" i="13"/>
  <c r="E12" i="13"/>
  <c r="W12" i="13" s="1"/>
  <c r="S11" i="13"/>
  <c r="Q11" i="13"/>
  <c r="U11" i="13" s="1"/>
  <c r="V11" i="13" s="1"/>
  <c r="O11" i="13"/>
  <c r="M11" i="13"/>
  <c r="K11" i="13"/>
  <c r="I11" i="13"/>
  <c r="G11" i="13"/>
  <c r="E11" i="13"/>
  <c r="S10" i="13"/>
  <c r="Q10" i="13"/>
  <c r="U10" i="13" s="1"/>
  <c r="V10" i="13" s="1"/>
  <c r="O10" i="13"/>
  <c r="M10" i="13"/>
  <c r="K10" i="13"/>
  <c r="I10" i="13"/>
  <c r="G10" i="13"/>
  <c r="E10" i="13"/>
  <c r="S9" i="13"/>
  <c r="Q9" i="13"/>
  <c r="U9" i="13" s="1"/>
  <c r="V9" i="13" s="1"/>
  <c r="O9" i="13"/>
  <c r="M9" i="13"/>
  <c r="K9" i="13"/>
  <c r="I9" i="13"/>
  <c r="G9" i="13"/>
  <c r="E9" i="13"/>
  <c r="S8" i="13"/>
  <c r="Q8" i="13"/>
  <c r="U8" i="13" s="1"/>
  <c r="V8" i="13" s="1"/>
  <c r="T8" i="13" s="1"/>
  <c r="O8" i="13"/>
  <c r="M8" i="13"/>
  <c r="K8" i="13"/>
  <c r="I8" i="13"/>
  <c r="G8" i="13"/>
  <c r="E8" i="13"/>
  <c r="W8" i="13" s="1"/>
  <c r="S7" i="13"/>
  <c r="Q7" i="13"/>
  <c r="U7" i="13" s="1"/>
  <c r="V7" i="13" s="1"/>
  <c r="T7" i="13" s="1"/>
  <c r="O7" i="13"/>
  <c r="M7" i="13"/>
  <c r="K7" i="13"/>
  <c r="I7" i="13"/>
  <c r="G7" i="13"/>
  <c r="E7" i="13"/>
  <c r="W7" i="13" s="1"/>
  <c r="S6" i="13"/>
  <c r="U6" i="13" s="1"/>
  <c r="V6" i="13" s="1"/>
  <c r="Q6" i="13"/>
  <c r="O6" i="13"/>
  <c r="M6" i="13"/>
  <c r="K6" i="13"/>
  <c r="I6" i="13"/>
  <c r="G6" i="13"/>
  <c r="E6" i="13"/>
  <c r="S5" i="13"/>
  <c r="Q5" i="13"/>
  <c r="U5" i="13" s="1"/>
  <c r="V5" i="13" s="1"/>
  <c r="O5" i="13"/>
  <c r="M5" i="13"/>
  <c r="K5" i="13"/>
  <c r="I5" i="13"/>
  <c r="G5" i="13"/>
  <c r="E5" i="13"/>
  <c r="W9" i="12"/>
  <c r="S9" i="12"/>
  <c r="Q9" i="12"/>
  <c r="O9" i="12"/>
  <c r="U9" i="12" s="1"/>
  <c r="M9" i="12"/>
  <c r="V9" i="12" s="1"/>
  <c r="T9" i="12" s="1"/>
  <c r="K9" i="12"/>
  <c r="I9" i="12"/>
  <c r="G9" i="12"/>
  <c r="E9" i="12"/>
  <c r="S8" i="12"/>
  <c r="Q8" i="12"/>
  <c r="O8" i="12"/>
  <c r="M8" i="12"/>
  <c r="K8" i="12"/>
  <c r="W8" i="12" s="1"/>
  <c r="I8" i="12"/>
  <c r="G8" i="12"/>
  <c r="E8" i="12"/>
  <c r="S7" i="12"/>
  <c r="Q7" i="12"/>
  <c r="O7" i="12"/>
  <c r="U7" i="12" s="1"/>
  <c r="M7" i="12"/>
  <c r="V7" i="12" s="1"/>
  <c r="T7" i="12" s="1"/>
  <c r="K7" i="12"/>
  <c r="I7" i="12"/>
  <c r="W7" i="12" s="1"/>
  <c r="G7" i="12"/>
  <c r="E7" i="12"/>
  <c r="S6" i="12"/>
  <c r="Q6" i="12"/>
  <c r="O6" i="12"/>
  <c r="U6" i="12" s="1"/>
  <c r="V6" i="12" s="1"/>
  <c r="M6" i="12"/>
  <c r="K6" i="12"/>
  <c r="I6" i="12"/>
  <c r="G6" i="12"/>
  <c r="W6" i="12" s="1"/>
  <c r="E6" i="12"/>
  <c r="S5" i="12"/>
  <c r="Q5" i="12"/>
  <c r="O5" i="12"/>
  <c r="U5" i="12" s="1"/>
  <c r="M5" i="12"/>
  <c r="V5" i="12" s="1"/>
  <c r="K5" i="12"/>
  <c r="I5" i="12"/>
  <c r="G5" i="12"/>
  <c r="W5" i="12" s="1"/>
  <c r="E5" i="12"/>
  <c r="S11" i="11"/>
  <c r="Q11" i="11"/>
  <c r="O11" i="11"/>
  <c r="U11" i="11" s="1"/>
  <c r="M11" i="11"/>
  <c r="K11" i="11"/>
  <c r="I11" i="11"/>
  <c r="G11" i="11"/>
  <c r="E11" i="11"/>
  <c r="W11" i="11" s="1"/>
  <c r="U10" i="11"/>
  <c r="S10" i="11"/>
  <c r="Q10" i="11"/>
  <c r="O10" i="11"/>
  <c r="M10" i="11"/>
  <c r="K10" i="11"/>
  <c r="I10" i="11"/>
  <c r="G10" i="11"/>
  <c r="E10" i="11"/>
  <c r="W10" i="11" s="1"/>
  <c r="W9" i="11"/>
  <c r="S9" i="11"/>
  <c r="Q9" i="11"/>
  <c r="O9" i="11"/>
  <c r="U9" i="11" s="1"/>
  <c r="M9" i="11"/>
  <c r="K9" i="11"/>
  <c r="I9" i="11"/>
  <c r="G9" i="11"/>
  <c r="E9" i="11"/>
  <c r="W8" i="11"/>
  <c r="U8" i="11"/>
  <c r="S8" i="11"/>
  <c r="Q8" i="11"/>
  <c r="O8" i="11"/>
  <c r="M8" i="11"/>
  <c r="K8" i="11"/>
  <c r="I8" i="11"/>
  <c r="G8" i="11"/>
  <c r="E8" i="11"/>
  <c r="U7" i="11"/>
  <c r="S7" i="11"/>
  <c r="Q7" i="11"/>
  <c r="O7" i="11"/>
  <c r="M7" i="11"/>
  <c r="V7" i="11" s="1"/>
  <c r="K7" i="11"/>
  <c r="I7" i="11"/>
  <c r="G7" i="11"/>
  <c r="E7" i="11"/>
  <c r="W7" i="11" s="1"/>
  <c r="T7" i="11" s="1"/>
  <c r="S6" i="11"/>
  <c r="Q6" i="11"/>
  <c r="O6" i="11"/>
  <c r="U6" i="11" s="1"/>
  <c r="M6" i="11"/>
  <c r="K6" i="11"/>
  <c r="W6" i="11" s="1"/>
  <c r="I6" i="11"/>
  <c r="G6" i="11"/>
  <c r="E6" i="11"/>
  <c r="U5" i="11"/>
  <c r="S5" i="11"/>
  <c r="Q5" i="11"/>
  <c r="O5" i="11"/>
  <c r="M5" i="11"/>
  <c r="V5" i="11" s="1"/>
  <c r="T5" i="11" s="1"/>
  <c r="K5" i="11"/>
  <c r="I5" i="11"/>
  <c r="W5" i="11" s="1"/>
  <c r="G5" i="11"/>
  <c r="E5" i="11"/>
  <c r="S19" i="10"/>
  <c r="Q19" i="10"/>
  <c r="O19" i="10"/>
  <c r="U19" i="10" s="1"/>
  <c r="V19" i="10" s="1"/>
  <c r="M19" i="10"/>
  <c r="K19" i="10"/>
  <c r="I19" i="10"/>
  <c r="G19" i="10"/>
  <c r="E19" i="10"/>
  <c r="S18" i="10"/>
  <c r="Q18" i="10"/>
  <c r="U18" i="10" s="1"/>
  <c r="O18" i="10"/>
  <c r="M18" i="10"/>
  <c r="V18" i="10" s="1"/>
  <c r="K18" i="10"/>
  <c r="I18" i="10"/>
  <c r="G18" i="10"/>
  <c r="E18" i="10"/>
  <c r="S17" i="10"/>
  <c r="Q17" i="10"/>
  <c r="O17" i="10"/>
  <c r="U17" i="10" s="1"/>
  <c r="V17" i="10" s="1"/>
  <c r="M17" i="10"/>
  <c r="K17" i="10"/>
  <c r="I17" i="10"/>
  <c r="G17" i="10"/>
  <c r="E17" i="10"/>
  <c r="S16" i="10"/>
  <c r="Q16" i="10"/>
  <c r="O16" i="10"/>
  <c r="U16" i="10" s="1"/>
  <c r="V16" i="10" s="1"/>
  <c r="M16" i="10"/>
  <c r="K16" i="10"/>
  <c r="I16" i="10"/>
  <c r="G16" i="10"/>
  <c r="E16" i="10"/>
  <c r="S15" i="10"/>
  <c r="Q15" i="10"/>
  <c r="O15" i="10"/>
  <c r="U15" i="10" s="1"/>
  <c r="V15" i="10" s="1"/>
  <c r="M15" i="10"/>
  <c r="K15" i="10"/>
  <c r="I15" i="10"/>
  <c r="G15" i="10"/>
  <c r="E15" i="10"/>
  <c r="S14" i="10"/>
  <c r="Q14" i="10"/>
  <c r="O14" i="10"/>
  <c r="U14" i="10" s="1"/>
  <c r="V14" i="10" s="1"/>
  <c r="M14" i="10"/>
  <c r="K14" i="10"/>
  <c r="I14" i="10"/>
  <c r="G14" i="10"/>
  <c r="E14" i="10"/>
  <c r="S13" i="10"/>
  <c r="Q13" i="10"/>
  <c r="O13" i="10"/>
  <c r="U13" i="10" s="1"/>
  <c r="V13" i="10" s="1"/>
  <c r="M13" i="10"/>
  <c r="K13" i="10"/>
  <c r="I13" i="10"/>
  <c r="G13" i="10"/>
  <c r="E13" i="10"/>
  <c r="S12" i="10"/>
  <c r="Q12" i="10"/>
  <c r="U12" i="10" s="1"/>
  <c r="O12" i="10"/>
  <c r="M12" i="10"/>
  <c r="V12" i="10" s="1"/>
  <c r="K12" i="10"/>
  <c r="I12" i="10"/>
  <c r="G12" i="10"/>
  <c r="E12" i="10"/>
  <c r="S11" i="10"/>
  <c r="Q11" i="10"/>
  <c r="O11" i="10"/>
  <c r="U11" i="10" s="1"/>
  <c r="V11" i="10" s="1"/>
  <c r="M11" i="10"/>
  <c r="K11" i="10"/>
  <c r="I11" i="10"/>
  <c r="G11" i="10"/>
  <c r="E11" i="10"/>
  <c r="S10" i="10"/>
  <c r="Q10" i="10"/>
  <c r="O10" i="10"/>
  <c r="U10" i="10" s="1"/>
  <c r="V10" i="10" s="1"/>
  <c r="M10" i="10"/>
  <c r="K10" i="10"/>
  <c r="I10" i="10"/>
  <c r="G10" i="10"/>
  <c r="E10" i="10"/>
  <c r="S9" i="10"/>
  <c r="Q9" i="10"/>
  <c r="O9" i="10"/>
  <c r="U9" i="10" s="1"/>
  <c r="V9" i="10" s="1"/>
  <c r="M9" i="10"/>
  <c r="K9" i="10"/>
  <c r="I9" i="10"/>
  <c r="G9" i="10"/>
  <c r="E9" i="10"/>
  <c r="S8" i="10"/>
  <c r="Q8" i="10"/>
  <c r="O8" i="10"/>
  <c r="U8" i="10" s="1"/>
  <c r="V8" i="10" s="1"/>
  <c r="M8" i="10"/>
  <c r="K8" i="10"/>
  <c r="I8" i="10"/>
  <c r="G8" i="10"/>
  <c r="E8" i="10"/>
  <c r="S7" i="10"/>
  <c r="Q7" i="10"/>
  <c r="O7" i="10"/>
  <c r="U7" i="10" s="1"/>
  <c r="V7" i="10" s="1"/>
  <c r="M7" i="10"/>
  <c r="K7" i="10"/>
  <c r="I7" i="10"/>
  <c r="G7" i="10"/>
  <c r="E7" i="10"/>
  <c r="S6" i="10"/>
  <c r="Q6" i="10"/>
  <c r="U6" i="10" s="1"/>
  <c r="O6" i="10"/>
  <c r="M6" i="10"/>
  <c r="V6" i="10" s="1"/>
  <c r="K6" i="10"/>
  <c r="I6" i="10"/>
  <c r="G6" i="10"/>
  <c r="E6" i="10"/>
  <c r="S5" i="10"/>
  <c r="Q5" i="10"/>
  <c r="O5" i="10"/>
  <c r="U5" i="10" s="1"/>
  <c r="V5" i="10" s="1"/>
  <c r="M5" i="10"/>
  <c r="K5" i="10"/>
  <c r="I5" i="10"/>
  <c r="G5" i="10"/>
  <c r="E5" i="10"/>
  <c r="S17" i="9"/>
  <c r="Q17" i="9"/>
  <c r="O17" i="9"/>
  <c r="U17" i="9" s="1"/>
  <c r="V17" i="9" s="1"/>
  <c r="M17" i="9"/>
  <c r="K17" i="9"/>
  <c r="I17" i="9"/>
  <c r="G17" i="9"/>
  <c r="E17" i="9"/>
  <c r="W14" i="9"/>
  <c r="S14" i="9"/>
  <c r="Q14" i="9"/>
  <c r="O14" i="9"/>
  <c r="U14" i="9" s="1"/>
  <c r="M14" i="9"/>
  <c r="V14" i="9" s="1"/>
  <c r="T14" i="9" s="1"/>
  <c r="K14" i="9"/>
  <c r="I14" i="9"/>
  <c r="G14" i="9"/>
  <c r="E14" i="9"/>
  <c r="S13" i="9"/>
  <c r="Q13" i="9"/>
  <c r="O13" i="9"/>
  <c r="M13" i="9"/>
  <c r="K13" i="9"/>
  <c r="I13" i="9"/>
  <c r="G13" i="9"/>
  <c r="W13" i="9" s="1"/>
  <c r="E13" i="9"/>
  <c r="S12" i="9"/>
  <c r="Q12" i="9"/>
  <c r="O12" i="9"/>
  <c r="U12" i="9" s="1"/>
  <c r="V12" i="9" s="1"/>
  <c r="M12" i="9"/>
  <c r="K12" i="9"/>
  <c r="I12" i="9"/>
  <c r="G12" i="9"/>
  <c r="W12" i="9" s="1"/>
  <c r="E12" i="9"/>
  <c r="S11" i="9"/>
  <c r="Q11" i="9"/>
  <c r="O11" i="9"/>
  <c r="M11" i="9"/>
  <c r="K11" i="9"/>
  <c r="I11" i="9"/>
  <c r="G11" i="9"/>
  <c r="W11" i="9" s="1"/>
  <c r="E11" i="9"/>
  <c r="S10" i="9"/>
  <c r="Q10" i="9"/>
  <c r="O10" i="9"/>
  <c r="U10" i="9" s="1"/>
  <c r="V10" i="9" s="1"/>
  <c r="M10" i="9"/>
  <c r="K10" i="9"/>
  <c r="I10" i="9"/>
  <c r="G10" i="9"/>
  <c r="W10" i="9" s="1"/>
  <c r="E10" i="9"/>
  <c r="S9" i="9"/>
  <c r="Q9" i="9"/>
  <c r="O9" i="9"/>
  <c r="M9" i="9"/>
  <c r="K9" i="9"/>
  <c r="W9" i="9" s="1"/>
  <c r="I9" i="9"/>
  <c r="G9" i="9"/>
  <c r="E9" i="9"/>
  <c r="W8" i="9"/>
  <c r="S8" i="9"/>
  <c r="Q8" i="9"/>
  <c r="O8" i="9"/>
  <c r="U8" i="9" s="1"/>
  <c r="M8" i="9"/>
  <c r="V8" i="9" s="1"/>
  <c r="T8" i="9" s="1"/>
  <c r="K8" i="9"/>
  <c r="I8" i="9"/>
  <c r="G8" i="9"/>
  <c r="E8" i="9"/>
  <c r="S7" i="9"/>
  <c r="Q7" i="9"/>
  <c r="O7" i="9"/>
  <c r="M7" i="9"/>
  <c r="K7" i="9"/>
  <c r="I7" i="9"/>
  <c r="G7" i="9"/>
  <c r="W7" i="9" s="1"/>
  <c r="E7" i="9"/>
  <c r="S6" i="9"/>
  <c r="Q6" i="9"/>
  <c r="O6" i="9"/>
  <c r="M6" i="9"/>
  <c r="K6" i="9"/>
  <c r="I6" i="9"/>
  <c r="G6" i="9"/>
  <c r="W6" i="9" s="1"/>
  <c r="E6" i="9"/>
  <c r="S5" i="9"/>
  <c r="Q5" i="9"/>
  <c r="O5" i="9"/>
  <c r="M5" i="9"/>
  <c r="K5" i="9"/>
  <c r="I5" i="9"/>
  <c r="G5" i="9"/>
  <c r="W5" i="9" s="1"/>
  <c r="E5" i="9"/>
  <c r="S17" i="8"/>
  <c r="Q17" i="8"/>
  <c r="O17" i="8"/>
  <c r="M17" i="8"/>
  <c r="K17" i="8"/>
  <c r="I17" i="8"/>
  <c r="G17" i="8"/>
  <c r="E17" i="8"/>
  <c r="W17" i="8" s="1"/>
  <c r="V16" i="8"/>
  <c r="S16" i="8"/>
  <c r="Q16" i="8"/>
  <c r="O16" i="8"/>
  <c r="U16" i="8" s="1"/>
  <c r="M16" i="8"/>
  <c r="K16" i="8"/>
  <c r="I16" i="8"/>
  <c r="G16" i="8"/>
  <c r="E16" i="8"/>
  <c r="W16" i="8" s="1"/>
  <c r="S15" i="8"/>
  <c r="Q15" i="8"/>
  <c r="O15" i="8"/>
  <c r="M15" i="8"/>
  <c r="K15" i="8"/>
  <c r="I15" i="8"/>
  <c r="G15" i="8"/>
  <c r="E15" i="8"/>
  <c r="W15" i="8" s="1"/>
  <c r="S12" i="8"/>
  <c r="Q12" i="8"/>
  <c r="O12" i="8"/>
  <c r="U12" i="8" s="1"/>
  <c r="M12" i="8"/>
  <c r="K12" i="8"/>
  <c r="I12" i="8"/>
  <c r="G12" i="8"/>
  <c r="E12" i="8"/>
  <c r="W12" i="8" s="1"/>
  <c r="S11" i="8"/>
  <c r="U11" i="8" s="1"/>
  <c r="Q11" i="8"/>
  <c r="O11" i="8"/>
  <c r="M11" i="8"/>
  <c r="K11" i="8"/>
  <c r="I11" i="8"/>
  <c r="G11" i="8"/>
  <c r="E11" i="8"/>
  <c r="W11" i="8" s="1"/>
  <c r="W10" i="8"/>
  <c r="S10" i="8"/>
  <c r="Q10" i="8"/>
  <c r="O10" i="8"/>
  <c r="U10" i="8" s="1"/>
  <c r="M10" i="8"/>
  <c r="K10" i="8"/>
  <c r="I10" i="8"/>
  <c r="G10" i="8"/>
  <c r="E10" i="8"/>
  <c r="U9" i="8"/>
  <c r="S9" i="8"/>
  <c r="Q9" i="8"/>
  <c r="O9" i="8"/>
  <c r="M9" i="8"/>
  <c r="K9" i="8"/>
  <c r="I9" i="8"/>
  <c r="G9" i="8"/>
  <c r="W9" i="8" s="1"/>
  <c r="E9" i="8"/>
  <c r="S8" i="8"/>
  <c r="Q8" i="8"/>
  <c r="U8" i="8" s="1"/>
  <c r="O8" i="8"/>
  <c r="M8" i="8"/>
  <c r="K8" i="8"/>
  <c r="I8" i="8"/>
  <c r="G8" i="8"/>
  <c r="E8" i="8"/>
  <c r="W8" i="8" s="1"/>
  <c r="S7" i="8"/>
  <c r="Q7" i="8"/>
  <c r="O7" i="8"/>
  <c r="M7" i="8"/>
  <c r="K7" i="8"/>
  <c r="W7" i="8" s="1"/>
  <c r="I7" i="8"/>
  <c r="G7" i="8"/>
  <c r="E7" i="8"/>
  <c r="W6" i="8"/>
  <c r="S6" i="8"/>
  <c r="Q6" i="8"/>
  <c r="U6" i="8" s="1"/>
  <c r="O6" i="8"/>
  <c r="M6" i="8"/>
  <c r="K6" i="8"/>
  <c r="I6" i="8"/>
  <c r="G6" i="8"/>
  <c r="E6" i="8"/>
  <c r="S5" i="8"/>
  <c r="Q5" i="8"/>
  <c r="O5" i="8"/>
  <c r="U5" i="8" s="1"/>
  <c r="M5" i="8"/>
  <c r="K5" i="8"/>
  <c r="I5" i="8"/>
  <c r="G5" i="8"/>
  <c r="E5" i="8"/>
  <c r="W5" i="8" s="1"/>
  <c r="S18" i="7"/>
  <c r="Q18" i="7"/>
  <c r="O18" i="7"/>
  <c r="U18" i="7" s="1"/>
  <c r="V18" i="7" s="1"/>
  <c r="M18" i="7"/>
  <c r="K18" i="7"/>
  <c r="I18" i="7"/>
  <c r="G18" i="7"/>
  <c r="E18" i="7"/>
  <c r="U17" i="7"/>
  <c r="S17" i="7"/>
  <c r="Q17" i="7"/>
  <c r="O17" i="7"/>
  <c r="M17" i="7"/>
  <c r="V17" i="7" s="1"/>
  <c r="K17" i="7"/>
  <c r="I17" i="7"/>
  <c r="G17" i="7"/>
  <c r="E17" i="7"/>
  <c r="S16" i="7"/>
  <c r="U16" i="7" s="1"/>
  <c r="Q16" i="7"/>
  <c r="O16" i="7"/>
  <c r="M16" i="7"/>
  <c r="V16" i="7" s="1"/>
  <c r="K16" i="7"/>
  <c r="I16" i="7"/>
  <c r="G16" i="7"/>
  <c r="E16" i="7"/>
  <c r="S15" i="7"/>
  <c r="Q15" i="7"/>
  <c r="U15" i="7" s="1"/>
  <c r="V15" i="7" s="1"/>
  <c r="O15" i="7"/>
  <c r="M15" i="7"/>
  <c r="K15" i="7"/>
  <c r="I15" i="7"/>
  <c r="G15" i="7"/>
  <c r="E15" i="7"/>
  <c r="U14" i="7"/>
  <c r="S14" i="7"/>
  <c r="Q14" i="7"/>
  <c r="O14" i="7"/>
  <c r="M14" i="7"/>
  <c r="V14" i="7" s="1"/>
  <c r="K14" i="7"/>
  <c r="I14" i="7"/>
  <c r="G14" i="7"/>
  <c r="E14" i="7"/>
  <c r="S13" i="7"/>
  <c r="Q13" i="7"/>
  <c r="O13" i="7"/>
  <c r="U13" i="7" s="1"/>
  <c r="V13" i="7" s="1"/>
  <c r="T13" i="7" s="1"/>
  <c r="M13" i="7"/>
  <c r="K13" i="7"/>
  <c r="I13" i="7"/>
  <c r="G13" i="7"/>
  <c r="E13" i="7"/>
  <c r="W13" i="7" s="1"/>
  <c r="U12" i="7"/>
  <c r="S12" i="7"/>
  <c r="Q12" i="7"/>
  <c r="O12" i="7"/>
  <c r="M12" i="7"/>
  <c r="V12" i="7" s="1"/>
  <c r="T12" i="7" s="1"/>
  <c r="K12" i="7"/>
  <c r="I12" i="7"/>
  <c r="G12" i="7"/>
  <c r="E12" i="7"/>
  <c r="W12" i="7" s="1"/>
  <c r="V11" i="7"/>
  <c r="S11" i="7"/>
  <c r="Q11" i="7"/>
  <c r="O11" i="7"/>
  <c r="U11" i="7" s="1"/>
  <c r="M11" i="7"/>
  <c r="K11" i="7"/>
  <c r="I11" i="7"/>
  <c r="G11" i="7"/>
  <c r="E11" i="7"/>
  <c r="U10" i="7"/>
  <c r="V10" i="7" s="1"/>
  <c r="S10" i="7"/>
  <c r="Q10" i="7"/>
  <c r="O10" i="7"/>
  <c r="M10" i="7"/>
  <c r="K10" i="7"/>
  <c r="I10" i="7"/>
  <c r="G10" i="7"/>
  <c r="E10" i="7"/>
  <c r="S9" i="7"/>
  <c r="Q9" i="7"/>
  <c r="U9" i="7" s="1"/>
  <c r="O9" i="7"/>
  <c r="M9" i="7"/>
  <c r="V9" i="7" s="1"/>
  <c r="T9" i="7" s="1"/>
  <c r="K9" i="7"/>
  <c r="I9" i="7"/>
  <c r="G9" i="7"/>
  <c r="E9" i="7"/>
  <c r="W9" i="7" s="1"/>
  <c r="S8" i="7"/>
  <c r="Q8" i="7"/>
  <c r="O8" i="7"/>
  <c r="U8" i="7" s="1"/>
  <c r="V8" i="7" s="1"/>
  <c r="M8" i="7"/>
  <c r="K8" i="7"/>
  <c r="I8" i="7"/>
  <c r="G8" i="7"/>
  <c r="E8" i="7"/>
  <c r="S7" i="7"/>
  <c r="Q7" i="7"/>
  <c r="O7" i="7"/>
  <c r="M7" i="7"/>
  <c r="K7" i="7"/>
  <c r="I7" i="7"/>
  <c r="G7" i="7"/>
  <c r="E7" i="7"/>
  <c r="S6" i="7"/>
  <c r="Q6" i="7"/>
  <c r="O6" i="7"/>
  <c r="U6" i="7" s="1"/>
  <c r="V6" i="7" s="1"/>
  <c r="M6" i="7"/>
  <c r="K6" i="7"/>
  <c r="I6" i="7"/>
  <c r="G6" i="7"/>
  <c r="E6" i="7"/>
  <c r="S5" i="7"/>
  <c r="Q5" i="7"/>
  <c r="O5" i="7"/>
  <c r="U5" i="7" s="1"/>
  <c r="M5" i="7"/>
  <c r="K5" i="7"/>
  <c r="I5" i="7"/>
  <c r="G5" i="7"/>
  <c r="E5" i="7"/>
  <c r="S18" i="6"/>
  <c r="Q18" i="6"/>
  <c r="O18" i="6"/>
  <c r="U18" i="6" s="1"/>
  <c r="V18" i="6" s="1"/>
  <c r="T18" i="6" s="1"/>
  <c r="M18" i="6"/>
  <c r="K18" i="6"/>
  <c r="I18" i="6"/>
  <c r="W18" i="6" s="1"/>
  <c r="G18" i="6"/>
  <c r="E18" i="6"/>
  <c r="S17" i="6"/>
  <c r="Q17" i="6"/>
  <c r="O17" i="6"/>
  <c r="U17" i="6" s="1"/>
  <c r="V17" i="6" s="1"/>
  <c r="T17" i="6" s="1"/>
  <c r="M17" i="6"/>
  <c r="K17" i="6"/>
  <c r="I17" i="6"/>
  <c r="W17" i="6" s="1"/>
  <c r="G17" i="6"/>
  <c r="E17" i="6"/>
  <c r="S16" i="6"/>
  <c r="Q16" i="6"/>
  <c r="O16" i="6"/>
  <c r="U16" i="6" s="1"/>
  <c r="V16" i="6" s="1"/>
  <c r="M16" i="6"/>
  <c r="K16" i="6"/>
  <c r="I16" i="6"/>
  <c r="W16" i="6" s="1"/>
  <c r="G16" i="6"/>
  <c r="E16" i="6"/>
  <c r="S15" i="6"/>
  <c r="Q15" i="6"/>
  <c r="O15" i="6"/>
  <c r="U15" i="6" s="1"/>
  <c r="V15" i="6" s="1"/>
  <c r="T15" i="6" s="1"/>
  <c r="M15" i="6"/>
  <c r="K15" i="6"/>
  <c r="I15" i="6"/>
  <c r="W15" i="6" s="1"/>
  <c r="G15" i="6"/>
  <c r="E15" i="6"/>
  <c r="S14" i="6"/>
  <c r="Q14" i="6"/>
  <c r="O14" i="6"/>
  <c r="U14" i="6" s="1"/>
  <c r="V14" i="6" s="1"/>
  <c r="T14" i="6" s="1"/>
  <c r="M14" i="6"/>
  <c r="K14" i="6"/>
  <c r="I14" i="6"/>
  <c r="W14" i="6" s="1"/>
  <c r="G14" i="6"/>
  <c r="E14" i="6"/>
  <c r="S13" i="6"/>
  <c r="Q13" i="6"/>
  <c r="O13" i="6"/>
  <c r="U13" i="6" s="1"/>
  <c r="V13" i="6" s="1"/>
  <c r="M13" i="6"/>
  <c r="K13" i="6"/>
  <c r="I13" i="6"/>
  <c r="W13" i="6" s="1"/>
  <c r="G13" i="6"/>
  <c r="E13" i="6"/>
  <c r="S12" i="6"/>
  <c r="Q12" i="6"/>
  <c r="O12" i="6"/>
  <c r="U12" i="6" s="1"/>
  <c r="V12" i="6" s="1"/>
  <c r="T12" i="6" s="1"/>
  <c r="M12" i="6"/>
  <c r="K12" i="6"/>
  <c r="I12" i="6"/>
  <c r="W12" i="6" s="1"/>
  <c r="G12" i="6"/>
  <c r="E12" i="6"/>
  <c r="S11" i="6"/>
  <c r="Q11" i="6"/>
  <c r="O11" i="6"/>
  <c r="U11" i="6" s="1"/>
  <c r="V11" i="6" s="1"/>
  <c r="T11" i="6" s="1"/>
  <c r="M11" i="6"/>
  <c r="K11" i="6"/>
  <c r="I11" i="6"/>
  <c r="W11" i="6" s="1"/>
  <c r="G11" i="6"/>
  <c r="E11" i="6"/>
  <c r="S10" i="6"/>
  <c r="Q10" i="6"/>
  <c r="O10" i="6"/>
  <c r="U10" i="6" s="1"/>
  <c r="V10" i="6" s="1"/>
  <c r="M10" i="6"/>
  <c r="K10" i="6"/>
  <c r="I10" i="6"/>
  <c r="W10" i="6" s="1"/>
  <c r="G10" i="6"/>
  <c r="E10" i="6"/>
  <c r="S9" i="6"/>
  <c r="Q9" i="6"/>
  <c r="O9" i="6"/>
  <c r="U9" i="6" s="1"/>
  <c r="V9" i="6" s="1"/>
  <c r="T9" i="6" s="1"/>
  <c r="M9" i="6"/>
  <c r="K9" i="6"/>
  <c r="I9" i="6"/>
  <c r="W9" i="6" s="1"/>
  <c r="G9" i="6"/>
  <c r="E9" i="6"/>
  <c r="S8" i="6"/>
  <c r="Q8" i="6"/>
  <c r="O8" i="6"/>
  <c r="U8" i="6" s="1"/>
  <c r="V8" i="6" s="1"/>
  <c r="T8" i="6" s="1"/>
  <c r="M8" i="6"/>
  <c r="K8" i="6"/>
  <c r="I8" i="6"/>
  <c r="W8" i="6" s="1"/>
  <c r="G8" i="6"/>
  <c r="E8" i="6"/>
  <c r="S7" i="6"/>
  <c r="Q7" i="6"/>
  <c r="O7" i="6"/>
  <c r="U7" i="6" s="1"/>
  <c r="V7" i="6" s="1"/>
  <c r="M7" i="6"/>
  <c r="K7" i="6"/>
  <c r="I7" i="6"/>
  <c r="W7" i="6" s="1"/>
  <c r="G7" i="6"/>
  <c r="E7" i="6"/>
  <c r="S6" i="6"/>
  <c r="Q6" i="6"/>
  <c r="O6" i="6"/>
  <c r="U6" i="6" s="1"/>
  <c r="V6" i="6" s="1"/>
  <c r="T6" i="6" s="1"/>
  <c r="M6" i="6"/>
  <c r="K6" i="6"/>
  <c r="I6" i="6"/>
  <c r="W6" i="6" s="1"/>
  <c r="G6" i="6"/>
  <c r="E6" i="6"/>
  <c r="S5" i="6"/>
  <c r="Q5" i="6"/>
  <c r="O5" i="6"/>
  <c r="U5" i="6" s="1"/>
  <c r="V5" i="6" s="1"/>
  <c r="T5" i="6" s="1"/>
  <c r="M5" i="6"/>
  <c r="K5" i="6"/>
  <c r="I5" i="6"/>
  <c r="W5" i="6" s="1"/>
  <c r="G5" i="6"/>
  <c r="E5" i="6"/>
  <c r="U10" i="5"/>
  <c r="S10" i="5"/>
  <c r="Q10" i="5"/>
  <c r="O10" i="5"/>
  <c r="M10" i="5"/>
  <c r="V10" i="5" s="1"/>
  <c r="K10" i="5"/>
  <c r="W10" i="5" s="1"/>
  <c r="I10" i="5"/>
  <c r="G10" i="5"/>
  <c r="E10" i="5"/>
  <c r="U9" i="5"/>
  <c r="S9" i="5"/>
  <c r="Q9" i="5"/>
  <c r="O9" i="5"/>
  <c r="M9" i="5"/>
  <c r="V9" i="5" s="1"/>
  <c r="K9" i="5"/>
  <c r="W9" i="5" s="1"/>
  <c r="I9" i="5"/>
  <c r="G9" i="5"/>
  <c r="E9" i="5"/>
  <c r="W8" i="5"/>
  <c r="U8" i="5"/>
  <c r="V8" i="5" s="1"/>
  <c r="T8" i="5" s="1"/>
  <c r="S8" i="5"/>
  <c r="Q8" i="5"/>
  <c r="O8" i="5"/>
  <c r="M8" i="5"/>
  <c r="K8" i="5"/>
  <c r="I8" i="5"/>
  <c r="G8" i="5"/>
  <c r="E8" i="5"/>
  <c r="W7" i="5"/>
  <c r="U7" i="5"/>
  <c r="V7" i="5" s="1"/>
  <c r="T7" i="5" s="1"/>
  <c r="S7" i="5"/>
  <c r="Q7" i="5"/>
  <c r="O7" i="5"/>
  <c r="M7" i="5"/>
  <c r="K7" i="5"/>
  <c r="I7" i="5"/>
  <c r="G7" i="5"/>
  <c r="E7" i="5"/>
  <c r="W6" i="5"/>
  <c r="U6" i="5"/>
  <c r="V6" i="5" s="1"/>
  <c r="S6" i="5"/>
  <c r="Q6" i="5"/>
  <c r="O6" i="5"/>
  <c r="M6" i="5"/>
  <c r="K6" i="5"/>
  <c r="I6" i="5"/>
  <c r="G6" i="5"/>
  <c r="E6" i="5"/>
  <c r="U5" i="5"/>
  <c r="V5" i="5" s="1"/>
  <c r="S5" i="5"/>
  <c r="Q5" i="5"/>
  <c r="O5" i="5"/>
  <c r="M5" i="5"/>
  <c r="K5" i="5"/>
  <c r="W5" i="5" s="1"/>
  <c r="I5" i="5"/>
  <c r="G5" i="5"/>
  <c r="E5" i="5"/>
  <c r="S6" i="4"/>
  <c r="U6" i="4" s="1"/>
  <c r="Q6" i="4"/>
  <c r="O6" i="4"/>
  <c r="M6" i="4"/>
  <c r="V6" i="4" s="1"/>
  <c r="K6" i="4"/>
  <c r="I6" i="4"/>
  <c r="G6" i="4"/>
  <c r="E6" i="4"/>
  <c r="W6" i="4" s="1"/>
  <c r="S5" i="4"/>
  <c r="U5" i="4" s="1"/>
  <c r="Q5" i="4"/>
  <c r="O5" i="4"/>
  <c r="M5" i="4"/>
  <c r="K5" i="4"/>
  <c r="I5" i="4"/>
  <c r="G5" i="4"/>
  <c r="E5" i="4"/>
  <c r="W5" i="4" s="1"/>
  <c r="S11" i="3"/>
  <c r="Q11" i="3"/>
  <c r="O11" i="3"/>
  <c r="U11" i="3" s="1"/>
  <c r="V11" i="3" s="1"/>
  <c r="T11" i="3" s="1"/>
  <c r="M11" i="3"/>
  <c r="K11" i="3"/>
  <c r="I11" i="3"/>
  <c r="G11" i="3"/>
  <c r="W11" i="3" s="1"/>
  <c r="E11" i="3"/>
  <c r="S10" i="3"/>
  <c r="Q10" i="3"/>
  <c r="O10" i="3"/>
  <c r="U10" i="3" s="1"/>
  <c r="V10" i="3" s="1"/>
  <c r="T10" i="3" s="1"/>
  <c r="M10" i="3"/>
  <c r="K10" i="3"/>
  <c r="I10" i="3"/>
  <c r="G10" i="3"/>
  <c r="W10" i="3" s="1"/>
  <c r="E10" i="3"/>
  <c r="V9" i="3"/>
  <c r="S9" i="3"/>
  <c r="Q9" i="3"/>
  <c r="O9" i="3"/>
  <c r="U9" i="3" s="1"/>
  <c r="M9" i="3"/>
  <c r="K9" i="3"/>
  <c r="I9" i="3"/>
  <c r="G9" i="3"/>
  <c r="W9" i="3" s="1"/>
  <c r="T9" i="3" s="1"/>
  <c r="E9" i="3"/>
  <c r="V8" i="3"/>
  <c r="T8" i="3" s="1"/>
  <c r="S8" i="3"/>
  <c r="Q8" i="3"/>
  <c r="O8" i="3"/>
  <c r="U8" i="3" s="1"/>
  <c r="M8" i="3"/>
  <c r="K8" i="3"/>
  <c r="I8" i="3"/>
  <c r="G8" i="3"/>
  <c r="W8" i="3" s="1"/>
  <c r="E8" i="3"/>
  <c r="V7" i="3"/>
  <c r="T7" i="3"/>
  <c r="S7" i="3"/>
  <c r="Q7" i="3"/>
  <c r="O7" i="3"/>
  <c r="U7" i="3" s="1"/>
  <c r="M7" i="3"/>
  <c r="K7" i="3"/>
  <c r="I7" i="3"/>
  <c r="G7" i="3"/>
  <c r="W7" i="3" s="1"/>
  <c r="E7" i="3"/>
  <c r="S6" i="3"/>
  <c r="Q6" i="3"/>
  <c r="O6" i="3"/>
  <c r="U6" i="3" s="1"/>
  <c r="V6" i="3" s="1"/>
  <c r="T6" i="3" s="1"/>
  <c r="M6" i="3"/>
  <c r="K6" i="3"/>
  <c r="I6" i="3"/>
  <c r="G6" i="3"/>
  <c r="W6" i="3" s="1"/>
  <c r="E6" i="3"/>
  <c r="S5" i="3"/>
  <c r="Q5" i="3"/>
  <c r="O5" i="3"/>
  <c r="U5" i="3" s="1"/>
  <c r="V5" i="3" s="1"/>
  <c r="T5" i="3" s="1"/>
  <c r="T12" i="3" s="1"/>
  <c r="M5" i="3"/>
  <c r="K5" i="3"/>
  <c r="I5" i="3"/>
  <c r="G5" i="3"/>
  <c r="W5" i="3" s="1"/>
  <c r="E5" i="3"/>
  <c r="S51" i="2"/>
  <c r="Q51" i="2"/>
  <c r="O51" i="2"/>
  <c r="U51" i="2" s="1"/>
  <c r="V51" i="2" s="1"/>
  <c r="M51" i="2"/>
  <c r="K51" i="2"/>
  <c r="I51" i="2"/>
  <c r="G51" i="2"/>
  <c r="W51" i="2" s="1"/>
  <c r="E51" i="2"/>
  <c r="S50" i="2"/>
  <c r="Q50" i="2"/>
  <c r="O50" i="2"/>
  <c r="M50" i="2"/>
  <c r="K50" i="2"/>
  <c r="I50" i="2"/>
  <c r="G50" i="2"/>
  <c r="E50" i="2"/>
  <c r="W50" i="2" s="1"/>
  <c r="U49" i="2"/>
  <c r="V49" i="2" s="1"/>
  <c r="S49" i="2"/>
  <c r="Q49" i="2"/>
  <c r="O49" i="2"/>
  <c r="M49" i="2"/>
  <c r="K49" i="2"/>
  <c r="I49" i="2"/>
  <c r="G49" i="2"/>
  <c r="E49" i="2"/>
  <c r="W48" i="2"/>
  <c r="S48" i="2"/>
  <c r="Q48" i="2"/>
  <c r="O48" i="2"/>
  <c r="U48" i="2" s="1"/>
  <c r="V48" i="2" s="1"/>
  <c r="T48" i="2" s="1"/>
  <c r="M48" i="2"/>
  <c r="K48" i="2"/>
  <c r="I48" i="2"/>
  <c r="G48" i="2"/>
  <c r="E48" i="2"/>
  <c r="S47" i="2"/>
  <c r="Q47" i="2"/>
  <c r="U47" i="2" s="1"/>
  <c r="V47" i="2" s="1"/>
  <c r="T47" i="2" s="1"/>
  <c r="O47" i="2"/>
  <c r="M47" i="2"/>
  <c r="K47" i="2"/>
  <c r="I47" i="2"/>
  <c r="G47" i="2"/>
  <c r="W47" i="2" s="1"/>
  <c r="E47" i="2"/>
  <c r="U46" i="2"/>
  <c r="V46" i="2" s="1"/>
  <c r="S46" i="2"/>
  <c r="Q46" i="2"/>
  <c r="O46" i="2"/>
  <c r="M46" i="2"/>
  <c r="K46" i="2"/>
  <c r="I46" i="2"/>
  <c r="G46" i="2"/>
  <c r="E46" i="2"/>
  <c r="W46" i="2" s="1"/>
  <c r="V45" i="2"/>
  <c r="S45" i="2"/>
  <c r="Q45" i="2"/>
  <c r="O45" i="2"/>
  <c r="U45" i="2" s="1"/>
  <c r="M45" i="2"/>
  <c r="K45" i="2"/>
  <c r="I45" i="2"/>
  <c r="G45" i="2"/>
  <c r="E45" i="2"/>
  <c r="W44" i="2"/>
  <c r="S44" i="2"/>
  <c r="Q44" i="2"/>
  <c r="U44" i="2" s="1"/>
  <c r="O44" i="2"/>
  <c r="M44" i="2"/>
  <c r="K44" i="2"/>
  <c r="I44" i="2"/>
  <c r="G44" i="2"/>
  <c r="E44" i="2"/>
  <c r="S43" i="2"/>
  <c r="Q43" i="2"/>
  <c r="O43" i="2"/>
  <c r="U43" i="2" s="1"/>
  <c r="V43" i="2" s="1"/>
  <c r="T43" i="2" s="1"/>
  <c r="M43" i="2"/>
  <c r="K43" i="2"/>
  <c r="I43" i="2"/>
  <c r="G43" i="2"/>
  <c r="E43" i="2"/>
  <c r="W43" i="2" s="1"/>
  <c r="S42" i="2"/>
  <c r="Q42" i="2"/>
  <c r="U42" i="2" s="1"/>
  <c r="O42" i="2"/>
  <c r="M42" i="2"/>
  <c r="K42" i="2"/>
  <c r="I42" i="2"/>
  <c r="G42" i="2"/>
  <c r="W42" i="2" s="1"/>
  <c r="E42" i="2"/>
  <c r="S41" i="2"/>
  <c r="Q41" i="2"/>
  <c r="O41" i="2"/>
  <c r="M41" i="2"/>
  <c r="K41" i="2"/>
  <c r="I41" i="2"/>
  <c r="G41" i="2"/>
  <c r="E41" i="2"/>
  <c r="W41" i="2" s="1"/>
  <c r="S40" i="2"/>
  <c r="Q40" i="2"/>
  <c r="U40" i="2" s="1"/>
  <c r="V40" i="2" s="1"/>
  <c r="O40" i="2"/>
  <c r="M40" i="2"/>
  <c r="K40" i="2"/>
  <c r="I40" i="2"/>
  <c r="G40" i="2"/>
  <c r="E40" i="2"/>
  <c r="W39" i="2"/>
  <c r="S39" i="2"/>
  <c r="U39" i="2" s="1"/>
  <c r="V39" i="2" s="1"/>
  <c r="T39" i="2" s="1"/>
  <c r="Q39" i="2"/>
  <c r="O39" i="2"/>
  <c r="M39" i="2"/>
  <c r="K39" i="2"/>
  <c r="I39" i="2"/>
  <c r="G39" i="2"/>
  <c r="E39" i="2"/>
  <c r="S38" i="2"/>
  <c r="Q38" i="2"/>
  <c r="O38" i="2"/>
  <c r="U38" i="2" s="1"/>
  <c r="V38" i="2" s="1"/>
  <c r="M38" i="2"/>
  <c r="K38" i="2"/>
  <c r="I38" i="2"/>
  <c r="G38" i="2"/>
  <c r="E38" i="2"/>
  <c r="S37" i="2"/>
  <c r="Q37" i="2"/>
  <c r="O37" i="2"/>
  <c r="U37" i="2" s="1"/>
  <c r="V37" i="2" s="1"/>
  <c r="M37" i="2"/>
  <c r="K37" i="2"/>
  <c r="I37" i="2"/>
  <c r="G37" i="2"/>
  <c r="E37" i="2"/>
  <c r="S36" i="2"/>
  <c r="Q36" i="2"/>
  <c r="O36" i="2"/>
  <c r="U36" i="2" s="1"/>
  <c r="V36" i="2" s="1"/>
  <c r="T36" i="2" s="1"/>
  <c r="M36" i="2"/>
  <c r="K36" i="2"/>
  <c r="I36" i="2"/>
  <c r="G36" i="2"/>
  <c r="W36" i="2" s="1"/>
  <c r="E36" i="2"/>
  <c r="S35" i="2"/>
  <c r="Q35" i="2"/>
  <c r="O35" i="2"/>
  <c r="M35" i="2"/>
  <c r="K35" i="2"/>
  <c r="I35" i="2"/>
  <c r="G35" i="2"/>
  <c r="W35" i="2" s="1"/>
  <c r="E35" i="2"/>
  <c r="S34" i="2"/>
  <c r="Q34" i="2"/>
  <c r="O34" i="2"/>
  <c r="M34" i="2"/>
  <c r="K34" i="2"/>
  <c r="I34" i="2"/>
  <c r="G34" i="2"/>
  <c r="W34" i="2" s="1"/>
  <c r="E34" i="2"/>
  <c r="S33" i="2"/>
  <c r="Q33" i="2"/>
  <c r="O33" i="2"/>
  <c r="M33" i="2"/>
  <c r="K33" i="2"/>
  <c r="I33" i="2"/>
  <c r="G33" i="2"/>
  <c r="E33" i="2"/>
  <c r="S32" i="2"/>
  <c r="Q32" i="2"/>
  <c r="O32" i="2"/>
  <c r="U32" i="2" s="1"/>
  <c r="V32" i="2" s="1"/>
  <c r="M32" i="2"/>
  <c r="K32" i="2"/>
  <c r="I32" i="2"/>
  <c r="G32" i="2"/>
  <c r="E32" i="2"/>
  <c r="S31" i="2"/>
  <c r="Q31" i="2"/>
  <c r="O31" i="2"/>
  <c r="U31" i="2" s="1"/>
  <c r="V31" i="2" s="1"/>
  <c r="M31" i="2"/>
  <c r="K31" i="2"/>
  <c r="I31" i="2"/>
  <c r="G31" i="2"/>
  <c r="E31" i="2"/>
  <c r="S30" i="2"/>
  <c r="Q30" i="2"/>
  <c r="O30" i="2"/>
  <c r="U30" i="2" s="1"/>
  <c r="V30" i="2" s="1"/>
  <c r="T30" i="2" s="1"/>
  <c r="M30" i="2"/>
  <c r="K30" i="2"/>
  <c r="I30" i="2"/>
  <c r="G30" i="2"/>
  <c r="W30" i="2" s="1"/>
  <c r="E30" i="2"/>
  <c r="S29" i="2"/>
  <c r="Q29" i="2"/>
  <c r="O29" i="2"/>
  <c r="M29" i="2"/>
  <c r="K29" i="2"/>
  <c r="I29" i="2"/>
  <c r="G29" i="2"/>
  <c r="W29" i="2" s="1"/>
  <c r="E29" i="2"/>
  <c r="S28" i="2"/>
  <c r="Q28" i="2"/>
  <c r="O28" i="2"/>
  <c r="M28" i="2"/>
  <c r="K28" i="2"/>
  <c r="I28" i="2"/>
  <c r="G28" i="2"/>
  <c r="W28" i="2" s="1"/>
  <c r="E28" i="2"/>
  <c r="S27" i="2"/>
  <c r="Q27" i="2"/>
  <c r="O27" i="2"/>
  <c r="M27" i="2"/>
  <c r="K27" i="2"/>
  <c r="I27" i="2"/>
  <c r="G27" i="2"/>
  <c r="E27" i="2"/>
  <c r="S26" i="2"/>
  <c r="Q26" i="2"/>
  <c r="O26" i="2"/>
  <c r="U26" i="2" s="1"/>
  <c r="V26" i="2" s="1"/>
  <c r="M26" i="2"/>
  <c r="K26" i="2"/>
  <c r="I26" i="2"/>
  <c r="G26" i="2"/>
  <c r="E26" i="2"/>
  <c r="S25" i="2"/>
  <c r="Q25" i="2"/>
  <c r="O25" i="2"/>
  <c r="U25" i="2" s="1"/>
  <c r="V25" i="2" s="1"/>
  <c r="M25" i="2"/>
  <c r="K25" i="2"/>
  <c r="I25" i="2"/>
  <c r="G25" i="2"/>
  <c r="E25" i="2"/>
  <c r="S24" i="2"/>
  <c r="Q24" i="2"/>
  <c r="O24" i="2"/>
  <c r="U24" i="2" s="1"/>
  <c r="V24" i="2" s="1"/>
  <c r="T24" i="2" s="1"/>
  <c r="M24" i="2"/>
  <c r="K24" i="2"/>
  <c r="I24" i="2"/>
  <c r="G24" i="2"/>
  <c r="W24" i="2" s="1"/>
  <c r="E24" i="2"/>
  <c r="S23" i="2"/>
  <c r="Q23" i="2"/>
  <c r="O23" i="2"/>
  <c r="M23" i="2"/>
  <c r="K23" i="2"/>
  <c r="I23" i="2"/>
  <c r="G23" i="2"/>
  <c r="W23" i="2" s="1"/>
  <c r="E23" i="2"/>
  <c r="W22" i="2"/>
  <c r="S22" i="2"/>
  <c r="Q22" i="2"/>
  <c r="O22" i="2"/>
  <c r="M22" i="2"/>
  <c r="K22" i="2"/>
  <c r="I22" i="2"/>
  <c r="G22" i="2"/>
  <c r="E22" i="2"/>
  <c r="W21" i="2"/>
  <c r="S21" i="2"/>
  <c r="Q21" i="2"/>
  <c r="O21" i="2"/>
  <c r="M21" i="2"/>
  <c r="K21" i="2"/>
  <c r="I21" i="2"/>
  <c r="G21" i="2"/>
  <c r="E21" i="2"/>
  <c r="W20" i="2"/>
  <c r="V20" i="2"/>
  <c r="T20" i="2"/>
  <c r="S20" i="2"/>
  <c r="Q20" i="2"/>
  <c r="O20" i="2"/>
  <c r="U20" i="2" s="1"/>
  <c r="M20" i="2"/>
  <c r="K20" i="2"/>
  <c r="I20" i="2"/>
  <c r="G20" i="2"/>
  <c r="E20" i="2"/>
  <c r="W19" i="2"/>
  <c r="S19" i="2"/>
  <c r="Q19" i="2"/>
  <c r="O19" i="2"/>
  <c r="M19" i="2"/>
  <c r="K19" i="2"/>
  <c r="I19" i="2"/>
  <c r="G19" i="2"/>
  <c r="E19" i="2"/>
  <c r="W18" i="2"/>
  <c r="S18" i="2"/>
  <c r="Q18" i="2"/>
  <c r="O18" i="2"/>
  <c r="M18" i="2"/>
  <c r="K18" i="2"/>
  <c r="I18" i="2"/>
  <c r="G18" i="2"/>
  <c r="E18" i="2"/>
  <c r="W17" i="2"/>
  <c r="S17" i="2"/>
  <c r="Q17" i="2"/>
  <c r="U17" i="2" s="1"/>
  <c r="O17" i="2"/>
  <c r="M17" i="2"/>
  <c r="K17" i="2"/>
  <c r="I17" i="2"/>
  <c r="G17" i="2"/>
  <c r="E17" i="2"/>
  <c r="W16" i="2"/>
  <c r="S16" i="2"/>
  <c r="Q16" i="2"/>
  <c r="U16" i="2" s="1"/>
  <c r="O16" i="2"/>
  <c r="M16" i="2"/>
  <c r="K16" i="2"/>
  <c r="I16" i="2"/>
  <c r="G16" i="2"/>
  <c r="E16" i="2"/>
  <c r="S15" i="2"/>
  <c r="Q15" i="2"/>
  <c r="U15" i="2" s="1"/>
  <c r="O15" i="2"/>
  <c r="M15" i="2"/>
  <c r="K15" i="2"/>
  <c r="I15" i="2"/>
  <c r="G15" i="2"/>
  <c r="E15" i="2"/>
  <c r="W15" i="2" s="1"/>
  <c r="S14" i="2"/>
  <c r="Q14" i="2"/>
  <c r="U14" i="2" s="1"/>
  <c r="O14" i="2"/>
  <c r="M14" i="2"/>
  <c r="K14" i="2"/>
  <c r="I14" i="2"/>
  <c r="G14" i="2"/>
  <c r="E14" i="2"/>
  <c r="W14" i="2" s="1"/>
  <c r="S13" i="2"/>
  <c r="Q13" i="2"/>
  <c r="U13" i="2" s="1"/>
  <c r="O13" i="2"/>
  <c r="M13" i="2"/>
  <c r="K13" i="2"/>
  <c r="I13" i="2"/>
  <c r="G13" i="2"/>
  <c r="E13" i="2"/>
  <c r="W13" i="2" s="1"/>
  <c r="S12" i="2"/>
  <c r="Q12" i="2"/>
  <c r="U12" i="2" s="1"/>
  <c r="O12" i="2"/>
  <c r="M12" i="2"/>
  <c r="K12" i="2"/>
  <c r="I12" i="2"/>
  <c r="W12" i="2" s="1"/>
  <c r="G12" i="2"/>
  <c r="E12" i="2"/>
  <c r="U11" i="2"/>
  <c r="S11" i="2"/>
  <c r="Q11" i="2"/>
  <c r="O11" i="2"/>
  <c r="M11" i="2"/>
  <c r="V11" i="2" s="1"/>
  <c r="K11" i="2"/>
  <c r="I11" i="2"/>
  <c r="G11" i="2"/>
  <c r="E11" i="2"/>
  <c r="W11" i="2" s="1"/>
  <c r="U10" i="2"/>
  <c r="S10" i="2"/>
  <c r="Q10" i="2"/>
  <c r="O10" i="2"/>
  <c r="M10" i="2"/>
  <c r="V10" i="2" s="1"/>
  <c r="K10" i="2"/>
  <c r="I10" i="2"/>
  <c r="G10" i="2"/>
  <c r="E10" i="2"/>
  <c r="W10" i="2" s="1"/>
  <c r="W9" i="2"/>
  <c r="S9" i="2"/>
  <c r="Q9" i="2"/>
  <c r="U9" i="2" s="1"/>
  <c r="O9" i="2"/>
  <c r="M9" i="2"/>
  <c r="K9" i="2"/>
  <c r="I9" i="2"/>
  <c r="G9" i="2"/>
  <c r="E9" i="2"/>
  <c r="W8" i="2"/>
  <c r="U8" i="2"/>
  <c r="S8" i="2"/>
  <c r="Q8" i="2"/>
  <c r="O8" i="2"/>
  <c r="M8" i="2"/>
  <c r="K8" i="2"/>
  <c r="I8" i="2"/>
  <c r="G8" i="2"/>
  <c r="E8" i="2"/>
  <c r="W7" i="2"/>
  <c r="U7" i="2"/>
  <c r="S7" i="2"/>
  <c r="Q7" i="2"/>
  <c r="O7" i="2"/>
  <c r="M7" i="2"/>
  <c r="K7" i="2"/>
  <c r="I7" i="2"/>
  <c r="G7" i="2"/>
  <c r="E7" i="2"/>
  <c r="U6" i="2"/>
  <c r="S6" i="2"/>
  <c r="Q6" i="2"/>
  <c r="O6" i="2"/>
  <c r="M6" i="2"/>
  <c r="K6" i="2"/>
  <c r="I6" i="2"/>
  <c r="G6" i="2"/>
  <c r="E6" i="2"/>
  <c r="W6" i="2" s="1"/>
  <c r="W5" i="2"/>
  <c r="S5" i="2"/>
  <c r="Q5" i="2"/>
  <c r="U5" i="2" s="1"/>
  <c r="O5" i="2"/>
  <c r="M5" i="2"/>
  <c r="K5" i="2"/>
  <c r="I5" i="2"/>
  <c r="G5" i="2"/>
  <c r="E5" i="2"/>
  <c r="T51" i="2" l="1"/>
  <c r="T32" i="2"/>
  <c r="T10" i="2"/>
  <c r="T31" i="2"/>
  <c r="T37" i="2"/>
  <c r="T11" i="2"/>
  <c r="V5" i="2"/>
  <c r="T5" i="2" s="1"/>
  <c r="V17" i="2"/>
  <c r="T17" i="2" s="1"/>
  <c r="U19" i="2"/>
  <c r="V19" i="2" s="1"/>
  <c r="T19" i="2" s="1"/>
  <c r="W25" i="2"/>
  <c r="T25" i="2" s="1"/>
  <c r="U27" i="2"/>
  <c r="V27" i="2" s="1"/>
  <c r="W31" i="2"/>
  <c r="U33" i="2"/>
  <c r="V33" i="2" s="1"/>
  <c r="W37" i="2"/>
  <c r="V44" i="2"/>
  <c r="T44" i="2" s="1"/>
  <c r="T16" i="8"/>
  <c r="T16" i="10"/>
  <c r="V16" i="2"/>
  <c r="T16" i="2" s="1"/>
  <c r="U18" i="2"/>
  <c r="V18" i="2" s="1"/>
  <c r="T18" i="2" s="1"/>
  <c r="T49" i="2"/>
  <c r="T5" i="13"/>
  <c r="V12" i="2"/>
  <c r="T12" i="2" s="1"/>
  <c r="W40" i="2"/>
  <c r="T40" i="2" s="1"/>
  <c r="V42" i="2"/>
  <c r="T42" i="2" s="1"/>
  <c r="T10" i="5"/>
  <c r="V13" i="2"/>
  <c r="T13" i="2" s="1"/>
  <c r="W45" i="2"/>
  <c r="T6" i="5"/>
  <c r="V5" i="7"/>
  <c r="T6" i="12"/>
  <c r="T6" i="19"/>
  <c r="V15" i="2"/>
  <c r="T15" i="2" s="1"/>
  <c r="T10" i="9"/>
  <c r="V9" i="2"/>
  <c r="T9" i="2" s="1"/>
  <c r="U23" i="2"/>
  <c r="V23" i="2" s="1"/>
  <c r="T23" i="2" s="1"/>
  <c r="W27" i="2"/>
  <c r="U29" i="2"/>
  <c r="V29" i="2" s="1"/>
  <c r="T29" i="2" s="1"/>
  <c r="W33" i="2"/>
  <c r="U35" i="2"/>
  <c r="V35" i="2" s="1"/>
  <c r="T35" i="2" s="1"/>
  <c r="U41" i="2"/>
  <c r="V41" i="2" s="1"/>
  <c r="T41" i="2" s="1"/>
  <c r="W49" i="2"/>
  <c r="T5" i="5"/>
  <c r="T9" i="5"/>
  <c r="T8" i="10"/>
  <c r="T10" i="13"/>
  <c r="T6" i="14"/>
  <c r="T45" i="2"/>
  <c r="V14" i="2"/>
  <c r="T14" i="2" s="1"/>
  <c r="T6" i="4"/>
  <c r="T7" i="6"/>
  <c r="T10" i="6"/>
  <c r="T19" i="6" s="1"/>
  <c r="T13" i="6"/>
  <c r="T16" i="6"/>
  <c r="V8" i="2"/>
  <c r="T8" i="2" s="1"/>
  <c r="U22" i="2"/>
  <c r="V22" i="2" s="1"/>
  <c r="T22" i="2" s="1"/>
  <c r="U50" i="2"/>
  <c r="V50" i="2" s="1"/>
  <c r="T50" i="2" s="1"/>
  <c r="T5" i="12"/>
  <c r="T12" i="14"/>
  <c r="V7" i="2"/>
  <c r="T7" i="2" s="1"/>
  <c r="U21" i="2"/>
  <c r="V21" i="2" s="1"/>
  <c r="T21" i="2" s="1"/>
  <c r="W26" i="2"/>
  <c r="T26" i="2" s="1"/>
  <c r="U28" i="2"/>
  <c r="V28" i="2" s="1"/>
  <c r="T28" i="2" s="1"/>
  <c r="W32" i="2"/>
  <c r="U34" i="2"/>
  <c r="V34" i="2" s="1"/>
  <c r="T34" i="2" s="1"/>
  <c r="W38" i="2"/>
  <c r="T38" i="2" s="1"/>
  <c r="V7" i="7"/>
  <c r="T7" i="7" s="1"/>
  <c r="T14" i="7"/>
  <c r="U7" i="8"/>
  <c r="T10" i="7"/>
  <c r="V6" i="2"/>
  <c r="T6" i="2" s="1"/>
  <c r="T46" i="2"/>
  <c r="V5" i="4"/>
  <c r="T5" i="4" s="1"/>
  <c r="T7" i="4" s="1"/>
  <c r="U7" i="7"/>
  <c r="T12" i="9"/>
  <c r="T5" i="14"/>
  <c r="U6" i="9"/>
  <c r="V6" i="9" s="1"/>
  <c r="T6" i="9" s="1"/>
  <c r="W17" i="9"/>
  <c r="T17" i="9" s="1"/>
  <c r="W10" i="10"/>
  <c r="T10" i="10" s="1"/>
  <c r="W16" i="10"/>
  <c r="W5" i="14"/>
  <c r="V7" i="14"/>
  <c r="T7" i="14" s="1"/>
  <c r="T10" i="16"/>
  <c r="W12" i="16"/>
  <c r="T12" i="16" s="1"/>
  <c r="V14" i="16"/>
  <c r="T14" i="16" s="1"/>
  <c r="V18" i="16"/>
  <c r="T5" i="18"/>
  <c r="T8" i="18"/>
  <c r="T11" i="18"/>
  <c r="T12" i="19"/>
  <c r="V10" i="21"/>
  <c r="T10" i="21" s="1"/>
  <c r="W11" i="7"/>
  <c r="T11" i="7" s="1"/>
  <c r="V17" i="8"/>
  <c r="T17" i="8" s="1"/>
  <c r="U5" i="9"/>
  <c r="V5" i="9" s="1"/>
  <c r="T5" i="9" s="1"/>
  <c r="U11" i="9"/>
  <c r="V11" i="9" s="1"/>
  <c r="T11" i="9" s="1"/>
  <c r="U8" i="12"/>
  <c r="V8" i="12" s="1"/>
  <c r="T8" i="12" s="1"/>
  <c r="W17" i="13"/>
  <c r="W17" i="16"/>
  <c r="V5" i="22"/>
  <c r="T5" i="22" s="1"/>
  <c r="W10" i="7"/>
  <c r="U17" i="8"/>
  <c r="W9" i="10"/>
  <c r="T9" i="10" s="1"/>
  <c r="W15" i="10"/>
  <c r="T15" i="10" s="1"/>
  <c r="V12" i="8"/>
  <c r="T12" i="8" s="1"/>
  <c r="V11" i="11"/>
  <c r="T11" i="11" s="1"/>
  <c r="V11" i="14"/>
  <c r="T11" i="14" s="1"/>
  <c r="V7" i="17"/>
  <c r="T7" i="17" s="1"/>
  <c r="V11" i="17"/>
  <c r="T11" i="17" s="1"/>
  <c r="W6" i="19"/>
  <c r="W5" i="21"/>
  <c r="T5" i="21" s="1"/>
  <c r="V6" i="21"/>
  <c r="T6" i="21" s="1"/>
  <c r="T11" i="24"/>
  <c r="T32" i="24"/>
  <c r="W8" i="7"/>
  <c r="T8" i="7" s="1"/>
  <c r="V11" i="8"/>
  <c r="T11" i="8" s="1"/>
  <c r="U15" i="8"/>
  <c r="V15" i="8" s="1"/>
  <c r="T15" i="8" s="1"/>
  <c r="T18" i="8" s="1"/>
  <c r="W8" i="10"/>
  <c r="W14" i="10"/>
  <c r="T14" i="10" s="1"/>
  <c r="V10" i="11"/>
  <c r="T10" i="11" s="1"/>
  <c r="W6" i="13"/>
  <c r="T6" i="13" s="1"/>
  <c r="T17" i="16"/>
  <c r="W8" i="21"/>
  <c r="T9" i="21"/>
  <c r="T15" i="21"/>
  <c r="W7" i="7"/>
  <c r="V10" i="8"/>
  <c r="T10" i="8" s="1"/>
  <c r="U9" i="9"/>
  <c r="V9" i="9" s="1"/>
  <c r="T9" i="9" s="1"/>
  <c r="V9" i="11"/>
  <c r="T9" i="11" s="1"/>
  <c r="T6" i="23"/>
  <c r="W6" i="7"/>
  <c r="T6" i="7" s="1"/>
  <c r="W18" i="7"/>
  <c r="T18" i="7" s="1"/>
  <c r="V9" i="8"/>
  <c r="T9" i="8" s="1"/>
  <c r="W7" i="10"/>
  <c r="T7" i="10" s="1"/>
  <c r="W13" i="10"/>
  <c r="T13" i="10" s="1"/>
  <c r="W19" i="10"/>
  <c r="T19" i="10" s="1"/>
  <c r="V8" i="11"/>
  <c r="T8" i="11" s="1"/>
  <c r="W5" i="13"/>
  <c r="W11" i="13"/>
  <c r="T11" i="13" s="1"/>
  <c r="U17" i="13"/>
  <c r="V17" i="13" s="1"/>
  <c r="V10" i="14"/>
  <c r="T10" i="14" s="1"/>
  <c r="V11" i="16"/>
  <c r="T11" i="16" s="1"/>
  <c r="V6" i="17"/>
  <c r="T6" i="17" s="1"/>
  <c r="V10" i="17"/>
  <c r="T10" i="17" s="1"/>
  <c r="W5" i="19"/>
  <c r="T5" i="19" s="1"/>
  <c r="W5" i="7"/>
  <c r="W17" i="7"/>
  <c r="T17" i="7" s="1"/>
  <c r="V8" i="8"/>
  <c r="T8" i="8" s="1"/>
  <c r="U7" i="20"/>
  <c r="V7" i="20" s="1"/>
  <c r="T7" i="20" s="1"/>
  <c r="T6" i="27"/>
  <c r="T9" i="27"/>
  <c r="T6" i="28"/>
  <c r="T9" i="28"/>
  <c r="T12" i="28"/>
  <c r="T15" i="28"/>
  <c r="T18" i="28"/>
  <c r="W16" i="7"/>
  <c r="T16" i="7" s="1"/>
  <c r="V7" i="8"/>
  <c r="T7" i="8" s="1"/>
  <c r="W6" i="10"/>
  <c r="T6" i="10" s="1"/>
  <c r="W12" i="10"/>
  <c r="T12" i="10" s="1"/>
  <c r="W18" i="10"/>
  <c r="T18" i="10" s="1"/>
  <c r="V6" i="11"/>
  <c r="T6" i="11" s="1"/>
  <c r="T12" i="11" s="1"/>
  <c r="W10" i="13"/>
  <c r="W12" i="14"/>
  <c r="U16" i="16"/>
  <c r="V16" i="16" s="1"/>
  <c r="T16" i="16" s="1"/>
  <c r="W18" i="16"/>
  <c r="W8" i="17"/>
  <c r="T8" i="17" s="1"/>
  <c r="V6" i="18"/>
  <c r="T6" i="18" s="1"/>
  <c r="V9" i="18"/>
  <c r="T9" i="18" s="1"/>
  <c r="V12" i="18"/>
  <c r="T12" i="18" s="1"/>
  <c r="W10" i="20"/>
  <c r="T5" i="23"/>
  <c r="T9" i="24"/>
  <c r="W15" i="7"/>
  <c r="T15" i="7" s="1"/>
  <c r="V6" i="8"/>
  <c r="T6" i="8" s="1"/>
  <c r="U7" i="9"/>
  <c r="V7" i="9" s="1"/>
  <c r="T7" i="9" s="1"/>
  <c r="U13" i="9"/>
  <c r="V13" i="9" s="1"/>
  <c r="T13" i="9" s="1"/>
  <c r="U9" i="14"/>
  <c r="V9" i="14" s="1"/>
  <c r="T9" i="14" s="1"/>
  <c r="W14" i="7"/>
  <c r="V5" i="8"/>
  <c r="T5" i="8" s="1"/>
  <c r="W5" i="10"/>
  <c r="T5" i="10" s="1"/>
  <c r="T20" i="10" s="1"/>
  <c r="W11" i="10"/>
  <c r="T11" i="10" s="1"/>
  <c r="W17" i="10"/>
  <c r="T17" i="10" s="1"/>
  <c r="W9" i="13"/>
  <c r="T9" i="13" s="1"/>
  <c r="T13" i="19"/>
  <c r="U6" i="20"/>
  <c r="V6" i="20" s="1"/>
  <c r="W9" i="20"/>
  <c r="T9" i="20" s="1"/>
  <c r="U6" i="22"/>
  <c r="V6" i="22" s="1"/>
  <c r="T6" i="22" s="1"/>
  <c r="T17" i="24"/>
  <c r="W14" i="18"/>
  <c r="T14" i="18" s="1"/>
  <c r="W6" i="20"/>
  <c r="U8" i="20"/>
  <c r="V8" i="20" s="1"/>
  <c r="T8" i="20" s="1"/>
  <c r="W7" i="24"/>
  <c r="T7" i="24" s="1"/>
  <c r="W13" i="24"/>
  <c r="T13" i="24" s="1"/>
  <c r="W19" i="24"/>
  <c r="T19" i="24" s="1"/>
  <c r="W25" i="24"/>
  <c r="T25" i="24" s="1"/>
  <c r="W31" i="24"/>
  <c r="T31" i="24" s="1"/>
  <c r="W37" i="24"/>
  <c r="T37" i="24" s="1"/>
  <c r="W6" i="25"/>
  <c r="T6" i="25" s="1"/>
  <c r="W12" i="25"/>
  <c r="T6" i="29"/>
  <c r="T10" i="29"/>
  <c r="T14" i="29"/>
  <c r="T6" i="30"/>
  <c r="V5" i="26"/>
  <c r="T5" i="26" s="1"/>
  <c r="W8" i="26"/>
  <c r="V9" i="26"/>
  <c r="T9" i="26" s="1"/>
  <c r="W12" i="26"/>
  <c r="V13" i="26"/>
  <c r="T13" i="26" s="1"/>
  <c r="T15" i="31"/>
  <c r="T5" i="30"/>
  <c r="U7" i="22"/>
  <c r="V7" i="22" s="1"/>
  <c r="T7" i="22" s="1"/>
  <c r="W5" i="23"/>
  <c r="W11" i="23"/>
  <c r="T11" i="23" s="1"/>
  <c r="W5" i="24"/>
  <c r="T5" i="24" s="1"/>
  <c r="W11" i="24"/>
  <c r="W17" i="24"/>
  <c r="W23" i="24"/>
  <c r="T23" i="24" s="1"/>
  <c r="W29" i="24"/>
  <c r="T29" i="24" s="1"/>
  <c r="W35" i="24"/>
  <c r="T35" i="24" s="1"/>
  <c r="W41" i="24"/>
  <c r="T41" i="24" s="1"/>
  <c r="W10" i="25"/>
  <c r="T10" i="25" s="1"/>
  <c r="W7" i="26"/>
  <c r="T7" i="26" s="1"/>
  <c r="V8" i="26"/>
  <c r="W11" i="26"/>
  <c r="T11" i="26" s="1"/>
  <c r="V12" i="26"/>
  <c r="W5" i="27"/>
  <c r="W8" i="27"/>
  <c r="V8" i="29"/>
  <c r="T8" i="29" s="1"/>
  <c r="V12" i="29"/>
  <c r="T12" i="29" s="1"/>
  <c r="V16" i="29"/>
  <c r="T16" i="29" s="1"/>
  <c r="V20" i="29"/>
  <c r="T20" i="29" s="1"/>
  <c r="T5" i="33"/>
  <c r="T10" i="33" s="1"/>
  <c r="U10" i="20"/>
  <c r="V10" i="20" s="1"/>
  <c r="T10" i="20" s="1"/>
  <c r="V8" i="21"/>
  <c r="W9" i="24"/>
  <c r="W15" i="24"/>
  <c r="T15" i="24" s="1"/>
  <c r="W21" i="24"/>
  <c r="T21" i="24" s="1"/>
  <c r="W27" i="24"/>
  <c r="T27" i="24" s="1"/>
  <c r="W33" i="24"/>
  <c r="T33" i="24" s="1"/>
  <c r="W39" i="24"/>
  <c r="T39" i="24" s="1"/>
  <c r="W8" i="25"/>
  <c r="T8" i="25" s="1"/>
  <c r="T12" i="25"/>
  <c r="T5" i="32"/>
  <c r="T14" i="32" s="1"/>
  <c r="T8" i="32"/>
  <c r="T11" i="32"/>
  <c r="V14" i="21"/>
  <c r="T14" i="21" s="1"/>
  <c r="T16" i="21" s="1"/>
  <c r="W8" i="23"/>
  <c r="T8" i="23" s="1"/>
  <c r="W14" i="23"/>
  <c r="T14" i="23" s="1"/>
  <c r="V7" i="29"/>
  <c r="T7" i="29" s="1"/>
  <c r="T23" i="29" s="1"/>
  <c r="V11" i="29"/>
  <c r="T11" i="29" s="1"/>
  <c r="V15" i="29"/>
  <c r="T15" i="29" s="1"/>
  <c r="V19" i="29"/>
  <c r="T19" i="29" s="1"/>
  <c r="W8" i="24"/>
  <c r="T8" i="24" s="1"/>
  <c r="W14" i="24"/>
  <c r="T14" i="24" s="1"/>
  <c r="W20" i="24"/>
  <c r="T20" i="24" s="1"/>
  <c r="W26" i="24"/>
  <c r="T26" i="24" s="1"/>
  <c r="W32" i="24"/>
  <c r="W38" i="24"/>
  <c r="T38" i="24" s="1"/>
  <c r="T7" i="30"/>
  <c r="T8" i="33"/>
  <c r="V7" i="21"/>
  <c r="T7" i="21" s="1"/>
  <c r="V11" i="21"/>
  <c r="T11" i="21" s="1"/>
  <c r="U9" i="22"/>
  <c r="V9" i="22" s="1"/>
  <c r="T9" i="22" s="1"/>
  <c r="W7" i="23"/>
  <c r="T7" i="23" s="1"/>
  <c r="W13" i="23"/>
  <c r="T13" i="23" s="1"/>
  <c r="U5" i="27"/>
  <c r="V5" i="27" s="1"/>
  <c r="T5" i="27" s="1"/>
  <c r="T11" i="27" s="1"/>
  <c r="U8" i="27"/>
  <c r="V8" i="27" s="1"/>
  <c r="T8" i="27" s="1"/>
  <c r="T5" i="28"/>
  <c r="T8" i="28"/>
  <c r="T11" i="28"/>
  <c r="T14" i="28"/>
  <c r="T17" i="28"/>
  <c r="T15" i="9" l="1"/>
  <c r="T13" i="25"/>
  <c r="T12" i="17"/>
  <c r="T12" i="26"/>
  <c r="T19" i="28"/>
  <c r="T27" i="2"/>
  <c r="T52" i="2" s="1"/>
  <c r="T10" i="22"/>
  <c r="T6" i="20"/>
  <c r="T11" i="20" s="1"/>
  <c r="T15" i="19"/>
  <c r="T15" i="18"/>
  <c r="T18" i="16"/>
  <c r="T19" i="16" s="1"/>
  <c r="T15" i="14"/>
  <c r="T5" i="7"/>
  <c r="T19" i="7" s="1"/>
  <c r="T14" i="13"/>
  <c r="T10" i="12"/>
  <c r="T8" i="26"/>
  <c r="T14" i="26" s="1"/>
  <c r="T13" i="8"/>
  <c r="T17" i="13"/>
  <c r="T18" i="13" s="1"/>
  <c r="T16" i="23"/>
  <c r="T8" i="21"/>
  <c r="T12" i="21" s="1"/>
  <c r="T11" i="5"/>
  <c r="T33" i="2"/>
  <c r="T9" i="30"/>
  <c r="Z17" i="2" l="1"/>
</calcChain>
</file>

<file path=xl/sharedStrings.xml><?xml version="1.0" encoding="utf-8"?>
<sst xmlns="http://schemas.openxmlformats.org/spreadsheetml/2006/main" count="4616" uniqueCount="148">
  <si>
    <t>"What are we working on?"</t>
  </si>
  <si>
    <t>"What can go wrong?"</t>
  </si>
  <si>
    <t>Base Score Metrics</t>
  </si>
  <si>
    <t>Analyse Model</t>
  </si>
  <si>
    <t>Identify Threats</t>
  </si>
  <si>
    <t>Step 1</t>
  </si>
  <si>
    <t>Step 3</t>
  </si>
  <si>
    <t>Step 4</t>
  </si>
  <si>
    <t>Exploitability Metrics</t>
  </si>
  <si>
    <t xml:space="preserve">Vulnrability System Impact Metrics </t>
  </si>
  <si>
    <t>Base Scores</t>
  </si>
  <si>
    <t>Artifact depicted in the diagram</t>
  </si>
  <si>
    <t>Applicable Threats (STRIDE Classification)</t>
  </si>
  <si>
    <t>Threat description</t>
  </si>
  <si>
    <t>Attack Vector (AV)</t>
  </si>
  <si>
    <t>Numerical Value (AV)</t>
  </si>
  <si>
    <t>Attack Complexity</t>
  </si>
  <si>
    <t>Numerical Value (AC)</t>
  </si>
  <si>
    <t>Privilages Required</t>
  </si>
  <si>
    <t>Numerical Value (PR)</t>
  </si>
  <si>
    <t>User Interaction</t>
  </si>
  <si>
    <t>Numerical Value (UI)</t>
  </si>
  <si>
    <t>Scope</t>
  </si>
  <si>
    <t>Numerical Value (S)</t>
  </si>
  <si>
    <t>Confidentiality (VC):</t>
  </si>
  <si>
    <t>Numerical Value (VC)</t>
  </si>
  <si>
    <t>Integrity (VI):</t>
  </si>
  <si>
    <t>Numerical Value (VI)</t>
  </si>
  <si>
    <t>Availability (VA):</t>
  </si>
  <si>
    <t>Numerical Value (VA)</t>
  </si>
  <si>
    <t>Base</t>
  </si>
  <si>
    <t>i_mul</t>
  </si>
  <si>
    <t>Impact</t>
  </si>
  <si>
    <t>Exploitability</t>
  </si>
  <si>
    <t>R7</t>
  </si>
  <si>
    <t>User Database</t>
  </si>
  <si>
    <t xml:space="preserve">Spoofing </t>
  </si>
  <si>
    <t xml:space="preserve">argon 2 mis-configuration </t>
  </si>
  <si>
    <t>Network</t>
  </si>
  <si>
    <t>High</t>
  </si>
  <si>
    <t>Required</t>
  </si>
  <si>
    <t>Changed</t>
  </si>
  <si>
    <t>None</t>
  </si>
  <si>
    <t>Browser</t>
  </si>
  <si>
    <t>Elevation of Privilage</t>
  </si>
  <si>
    <t>Session Guessing Attack</t>
  </si>
  <si>
    <t>Adjacent Network</t>
  </si>
  <si>
    <t>Low</t>
  </si>
  <si>
    <t>Firerwall, API Gateway</t>
  </si>
  <si>
    <t>Improper authorization or distributed authorization</t>
  </si>
  <si>
    <t>Admin Service</t>
  </si>
  <si>
    <t>Information Disclosure</t>
  </si>
  <si>
    <t>Rogue service in the network</t>
  </si>
  <si>
    <t>Payment Service</t>
  </si>
  <si>
    <t>User Service</t>
  </si>
  <si>
    <t>no check to see if it is an admins account</t>
  </si>
  <si>
    <t>R3</t>
  </si>
  <si>
    <t>Denial of Service</t>
  </si>
  <si>
    <t>DOS on the API gateway from browser</t>
  </si>
  <si>
    <t>Unchanged</t>
  </si>
  <si>
    <t>R1</t>
  </si>
  <si>
    <t>Spoofing attack</t>
  </si>
  <si>
    <t>R2</t>
  </si>
  <si>
    <t>Tampering</t>
  </si>
  <si>
    <t>Injection attack</t>
  </si>
  <si>
    <t>Malware on admin machine submitting requests</t>
  </si>
  <si>
    <t>Local</t>
  </si>
  <si>
    <t>Total Score Found</t>
  </si>
  <si>
    <t>R10</t>
  </si>
  <si>
    <t>No limit on the number of books borrowed</t>
  </si>
  <si>
    <t>Get all books another user has borrowed</t>
  </si>
  <si>
    <t xml:space="preserve">Return all users books </t>
  </si>
  <si>
    <t>Delete another users account</t>
  </si>
  <si>
    <t>Repudiation</t>
  </si>
  <si>
    <t>Logging not sufficient</t>
  </si>
  <si>
    <t>SSLv3</t>
  </si>
  <si>
    <t>SSH only blocked on the default port</t>
  </si>
  <si>
    <t>Bookshop system</t>
  </si>
  <si>
    <t>Business logic</t>
  </si>
  <si>
    <t>leaking error messages</t>
  </si>
  <si>
    <t>Change All users passwords</t>
  </si>
  <si>
    <t>Robustly log the purchase information with the user datatbase</t>
  </si>
  <si>
    <t>IP addresses on the firewall not being updated regularly and missing essential ip addresses. This would elevate the privilage of a blocked user, to one with access.</t>
  </si>
  <si>
    <t>Book Database</t>
  </si>
  <si>
    <t>see all the books borrowed by a user</t>
  </si>
  <si>
    <t>Admin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</si>
  <si>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</si>
  <si>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>no deletion of old users information - compliance risk and increases attack vector</t>
  </si>
  <si>
    <t xml:space="preserve">Admin Password found in password dump </t>
  </si>
  <si>
    <t>DDOS due to OpenSSL v3.0</t>
  </si>
  <si>
    <t>Customer</t>
  </si>
  <si>
    <t xml:space="preserve">Customer Password found in password dump </t>
  </si>
  <si>
    <t>POODLE</t>
  </si>
  <si>
    <t>F6</t>
  </si>
  <si>
    <t>Heartbleed</t>
  </si>
  <si>
    <t>Cookie HttpOnly not set</t>
  </si>
  <si>
    <t>Dual_EC_DRBG not secure</t>
  </si>
  <si>
    <t>System</t>
  </si>
  <si>
    <t xml:space="preserve">Logging not sifficient </t>
  </si>
  <si>
    <t>DNS assets can be used in a phishing attack</t>
  </si>
  <si>
    <t xml:space="preserve">CDN atrifacts compromised </t>
  </si>
  <si>
    <t xml:space="preserve">Payment parms edited </t>
  </si>
  <si>
    <t>replay admin requests</t>
  </si>
  <si>
    <t>potentially Compromised Bookshop System (BS) Internal Component interacting with the Book Database (BookDB)</t>
  </si>
  <si>
    <t>Book Service</t>
  </si>
  <si>
    <t>IDOR on user/books</t>
  </si>
  <si>
    <t>any TCP requests rule</t>
  </si>
  <si>
    <t>Missing/Inadequate Absolute Session Timeout (A type of Session Management Flaw)</t>
  </si>
  <si>
    <t>Improper Storage of Credentials (Specifically: Lack of Salt and Pepper)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</si>
  <si>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</si>
  <si>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</si>
  <si>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</si>
  <si>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 xml:space="preserve">not accurate </t>
  </si>
  <si>
    <t>MIM</t>
  </si>
  <si>
    <t>R6</t>
  </si>
  <si>
    <t>PW not slated</t>
  </si>
  <si>
    <t xml:space="preserve">Source ip too broad </t>
  </si>
  <si>
    <t>Destination port should be defined</t>
  </si>
  <si>
    <t>no difference in admin account</t>
  </si>
  <si>
    <t>Password generation is not secure</t>
  </si>
  <si>
    <t>Not accurate</t>
  </si>
  <si>
    <t>cookie removal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</si>
  <si>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</si>
  <si>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>forwards all TCP traffic</t>
  </si>
  <si>
    <t>Weak Encryption</t>
  </si>
  <si>
    <t>Encryption at rest not implemented</t>
  </si>
  <si>
    <t>SSLv1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</si>
  <si>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</si>
  <si>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</si>
  <si>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 xml:space="preserve">DNS poisen 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</si>
  <si>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</si>
  <si>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>DOS on the bookshop system from browser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</si>
  <si>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</si>
  <si>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t>R4</t>
  </si>
  <si>
    <t>weak authentication and authorization</t>
  </si>
  <si>
    <t>R5</t>
  </si>
  <si>
    <t>MFA and strong password policy</t>
  </si>
  <si>
    <t>not accurate</t>
  </si>
  <si>
    <t>Long sessions</t>
  </si>
  <si>
    <t>encryption</t>
  </si>
  <si>
    <t>Data Flow</t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</si>
  <si>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</si>
  <si>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</si>
  <si>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</si>
  <si>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</si>
  <si>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theme="1"/>
        <rFont val="Arial"/>
      </rPr>
      <t xml:space="preserve">No principal of least privilage, if you have an admin account you can get access on </t>
    </r>
    <r>
      <rPr>
        <b/>
        <sz val="11"/>
        <color theme="1"/>
        <rFont val="Arial"/>
      </rPr>
      <t>all</t>
    </r>
    <r>
      <rPr>
        <sz val="11"/>
        <color theme="1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</si>
  <si>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</si>
  <si>
    <r>
      <rPr>
        <sz val="11"/>
        <color rgb="FF000000"/>
        <rFont val="Arial"/>
      </rPr>
      <t xml:space="preserve">No principal of least privilage, if you have an admin account you can get access on </t>
    </r>
    <r>
      <rPr>
        <b/>
        <sz val="11"/>
        <color rgb="FF000000"/>
        <rFont val="Arial"/>
      </rPr>
      <t>all</t>
    </r>
    <r>
      <rPr>
        <sz val="11"/>
        <color rgb="FF000000"/>
        <rFont val="Arial"/>
      </rPr>
      <t xml:space="preserve"> users in the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</si>
</sst>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>
    <font>
      <sz val="10"/>
      <color rgb="FF000000"/>
      <name val="Arial"/>
      <scheme val="minor"/>
    </font>
    <font>
      <i/>
      <sz val="10"/>
      <color rgb="FFFFFFFF"/>
      <name val="Overpass"/>
    </font>
    <font>
      <i/>
      <sz val="10"/>
      <color rgb="FF2B4865"/>
      <name val="Overpass"/>
    </font>
    <font>
      <sz val="10"/>
      <name val="Arial"/>
    </font>
    <font>
      <b/>
      <sz val="10"/>
      <color rgb="FFB45F06"/>
      <name val="Arial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Overpass"/>
    </font>
    <font>
      <b/>
      <sz val="10"/>
      <color rgb="FF2B4865"/>
      <name val="Overpass"/>
    </font>
    <font>
      <b/>
      <sz val="10"/>
      <color rgb="FFCC0000"/>
      <name val="Arial"/>
    </font>
    <font>
      <i/>
      <sz val="10"/>
      <color rgb="FFCC0000"/>
      <name val="Arial"/>
    </font>
    <font>
      <sz val="10"/>
      <color rgb="FFCC000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B4865"/>
        <bgColor rgb="FF2B4865"/>
      </patternFill>
    </fill>
    <fill>
      <patternFill patternType="solid">
        <fgColor rgb="FF46BDC6"/>
        <bgColor rgb="FF46BDC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2" borderId="3" xfId="0" applyFont="1" applyFill="1" applyBorder="1"/>
    <xf numFmtId="0" fontId="7" fillId="2" borderId="5" xfId="0" applyFont="1" applyFill="1" applyBorder="1"/>
    <xf numFmtId="0" fontId="8" fillId="3" borderId="6" xfId="0" applyFont="1" applyFill="1" applyBorder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7" fillId="2" borderId="7" xfId="0" applyFont="1" applyFill="1" applyBorder="1"/>
    <xf numFmtId="0" fontId="8" fillId="3" borderId="8" xfId="0" applyFont="1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10" fillId="5" borderId="4" xfId="0" applyFont="1" applyFill="1" applyBorder="1"/>
    <xf numFmtId="0" fontId="5" fillId="6" borderId="0" xfId="0" applyFont="1" applyFill="1"/>
    <xf numFmtId="0" fontId="12" fillId="7" borderId="0" xfId="0" applyFont="1" applyFill="1"/>
    <xf numFmtId="0" fontId="5" fillId="7" borderId="0" xfId="0" applyFont="1" applyFill="1"/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8" fillId="3" borderId="6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13" fillId="0" borderId="0" xfId="0" applyFont="1" applyAlignment="1">
      <alignment wrapText="1"/>
    </xf>
    <xf numFmtId="164" fontId="1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10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13" fillId="8" borderId="0" xfId="0" applyNumberFormat="1" applyFont="1" applyFill="1"/>
    <xf numFmtId="0" fontId="13" fillId="0" borderId="0" xfId="0" applyFont="1"/>
    <xf numFmtId="164" fontId="6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6" fillId="0" borderId="0" xfId="0" applyFont="1"/>
    <xf numFmtId="0" fontId="14" fillId="0" borderId="0" xfId="0" applyFont="1" applyAlignment="1">
      <alignment horizontal="center" wrapText="1"/>
    </xf>
    <xf numFmtId="0" fontId="2" fillId="3" borderId="2" xfId="0" applyFont="1" applyFill="1" applyBorder="1"/>
    <xf numFmtId="0" fontId="3" fillId="0" borderId="2" xfId="0" applyFont="1" applyBorder="1"/>
    <xf numFmtId="0" fontId="4" fillId="4" borderId="0" xfId="0" applyFont="1" applyFill="1" applyAlignment="1">
      <alignment horizontal="center"/>
    </xf>
    <xf numFmtId="0" fontId="0" fillId="0" borderId="0" xfId="0"/>
    <xf numFmtId="0" fontId="3" fillId="0" borderId="4" xfId="0" applyFont="1" applyBorder="1"/>
    <xf numFmtId="0" fontId="8" fillId="3" borderId="4" xfId="0" applyFont="1" applyFill="1" applyBorder="1"/>
    <xf numFmtId="0" fontId="9" fillId="5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957"/>
  <sheetViews>
    <sheetView tabSelected="1" topLeftCell="A3"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64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20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 ht="15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 ht="15">
      <c r="A3" s="5" t="s">
        <v>5</v>
      </c>
      <c r="B3" s="6" t="s">
        <v>6</v>
      </c>
      <c r="C3" s="25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 ht="15">
      <c r="A4" s="9" t="s">
        <v>11</v>
      </c>
      <c r="B4" s="10" t="s">
        <v>12</v>
      </c>
      <c r="C4" s="26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8" customHeight="1">
      <c r="A5" s="17" t="s">
        <v>35</v>
      </c>
      <c r="B5" s="19" t="s">
        <v>36</v>
      </c>
      <c r="C5" s="27" t="s">
        <v>37</v>
      </c>
      <c r="D5" s="19" t="s">
        <v>38</v>
      </c>
      <c r="E5" s="18">
        <f t="shared" ref="E5:E51" si="0">IF(D5="Network",0.85,IF(D5="Adjacent Network",0.62,IF(D5="Local",0.55,IF(D5="Physical",0.2,0))))</f>
        <v>0.85</v>
      </c>
      <c r="F5" s="19" t="s">
        <v>39</v>
      </c>
      <c r="G5" s="18">
        <f>IF(F5="High",0.44,IF(F5="Low",0.77,0))</f>
        <v>0.44</v>
      </c>
      <c r="H5" s="19" t="s">
        <v>39</v>
      </c>
      <c r="I5" s="18">
        <f t="shared" ref="I5:I51" si="1">IF(H5="None",0.85,IF(AND(H5="Low",L5="Unchanged"),0.62,IF(AND(H5="Low",L5="Changed"),0.68,IF(AND(H5="High",L5="Changed"),0.5,IF(AND(H5="High",L5="Unchanged"),0.27,0)))))</f>
        <v>0.5</v>
      </c>
      <c r="J5" s="19" t="s">
        <v>40</v>
      </c>
      <c r="K5" s="18">
        <f t="shared" ref="K5:K51" si="2">IF(J5="Required",0.62,IF(J5="None",0.85,0))</f>
        <v>0.62</v>
      </c>
      <c r="L5" s="19" t="s">
        <v>41</v>
      </c>
      <c r="M5" s="18">
        <f t="shared" ref="M5:M51" si="3">IF(L5="Changed",7.52,IF(L5="Unchanged",6.42,0))</f>
        <v>7.52</v>
      </c>
      <c r="N5" s="19" t="s">
        <v>39</v>
      </c>
      <c r="O5" s="19">
        <f t="shared" ref="O5:O51" si="4">IF(N5="High",0.56,IF(N5="Low",0.22,IF(N5="None",0,0)))</f>
        <v>0.56000000000000005</v>
      </c>
      <c r="P5" s="19" t="s">
        <v>39</v>
      </c>
      <c r="Q5" s="19">
        <f t="shared" ref="Q5:Q51" si="5">IF(P5="High",0.56,IF(P5="Low",0.22,IF(P5="None",0,0)))</f>
        <v>0.56000000000000005</v>
      </c>
      <c r="R5" s="19" t="s">
        <v>42</v>
      </c>
      <c r="S5" s="19">
        <f t="shared" ref="S5:S51" si="6">IF(R5="High",0.56,IF(R5="Low",0.22,IF(R5="None",0,0)))</f>
        <v>0</v>
      </c>
      <c r="T5" s="20">
        <f t="shared" ref="T5:T51" si="7">IF(V5&lt;=0,0,IF(L5="Unchanged",MIN(W5+V5,10),MIN((W5+V5)*1.08,10)))</f>
        <v>7.2475103892186867</v>
      </c>
      <c r="U5" s="21">
        <f t="shared" ref="U5:U51" si="8">(1-((1-O5)*(1-Q5)*(1-S5)))</f>
        <v>0.80640000000000001</v>
      </c>
      <c r="V5" s="22">
        <f t="shared" ref="V5:V51" si="9">IF(L5="Unchanged",M5*U5,M5*(U5-0.029)-3.25*POWER(U5-0.02,15))</f>
        <v>5.7576309677950803</v>
      </c>
      <c r="W5" s="22">
        <f t="shared" ref="W5:W51" si="10">8.22*E5*G5*I5*K5</f>
        <v>0.95302679999999995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 ht="16">
      <c r="A6" s="17" t="s">
        <v>43</v>
      </c>
      <c r="B6" s="19" t="s">
        <v>44</v>
      </c>
      <c r="C6" s="27" t="s">
        <v>45</v>
      </c>
      <c r="D6" s="19" t="s">
        <v>46</v>
      </c>
      <c r="E6" s="18">
        <f t="shared" si="0"/>
        <v>0.62</v>
      </c>
      <c r="F6" s="19" t="s">
        <v>39</v>
      </c>
      <c r="G6" s="18">
        <f t="shared" ref="G6:G11" si="11">IF(F6="Low",0.77,IF(F6="High",0.44,0))</f>
        <v>0.44</v>
      </c>
      <c r="H6" s="19" t="s">
        <v>47</v>
      </c>
      <c r="I6" s="18">
        <f t="shared" si="1"/>
        <v>0.68</v>
      </c>
      <c r="J6" s="19" t="s">
        <v>40</v>
      </c>
      <c r="K6" s="18">
        <f t="shared" si="2"/>
        <v>0.62</v>
      </c>
      <c r="L6" s="19" t="s">
        <v>41</v>
      </c>
      <c r="M6" s="18">
        <f t="shared" si="3"/>
        <v>7.52</v>
      </c>
      <c r="N6" s="19" t="s">
        <v>39</v>
      </c>
      <c r="O6" s="19">
        <f t="shared" si="4"/>
        <v>0.56000000000000005</v>
      </c>
      <c r="P6" s="19" t="s">
        <v>39</v>
      </c>
      <c r="Q6" s="19">
        <f t="shared" si="5"/>
        <v>0.56000000000000005</v>
      </c>
      <c r="R6" s="19" t="s">
        <v>42</v>
      </c>
      <c r="S6" s="19">
        <f t="shared" si="6"/>
        <v>0</v>
      </c>
      <c r="T6" s="20">
        <f t="shared" si="7"/>
        <v>7.2392762376666875</v>
      </c>
      <c r="U6" s="21">
        <f t="shared" si="8"/>
        <v>0.80640000000000001</v>
      </c>
      <c r="V6" s="22">
        <f t="shared" si="9"/>
        <v>5.7576309677950803</v>
      </c>
      <c r="W6" s="22">
        <f t="shared" si="10"/>
        <v>0.94540258560000001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6">
      <c r="A7" s="17" t="s">
        <v>48</v>
      </c>
      <c r="B7" s="19" t="s">
        <v>44</v>
      </c>
      <c r="C7" s="27" t="s">
        <v>49</v>
      </c>
      <c r="D7" s="19" t="s">
        <v>46</v>
      </c>
      <c r="E7" s="18">
        <f t="shared" si="0"/>
        <v>0.62</v>
      </c>
      <c r="F7" s="19" t="s">
        <v>39</v>
      </c>
      <c r="G7" s="18">
        <f t="shared" si="11"/>
        <v>0.44</v>
      </c>
      <c r="H7" s="19" t="s">
        <v>47</v>
      </c>
      <c r="I7" s="18">
        <f t="shared" si="1"/>
        <v>0.68</v>
      </c>
      <c r="J7" s="19" t="s">
        <v>40</v>
      </c>
      <c r="K7" s="18">
        <f t="shared" si="2"/>
        <v>0.62</v>
      </c>
      <c r="L7" s="19" t="s">
        <v>41</v>
      </c>
      <c r="M7" s="18">
        <f t="shared" si="3"/>
        <v>7.52</v>
      </c>
      <c r="N7" s="19" t="s">
        <v>39</v>
      </c>
      <c r="O7" s="19">
        <f t="shared" si="4"/>
        <v>0.56000000000000005</v>
      </c>
      <c r="P7" s="19" t="s">
        <v>39</v>
      </c>
      <c r="Q7" s="19">
        <f t="shared" si="5"/>
        <v>0.56000000000000005</v>
      </c>
      <c r="R7" s="19" t="s">
        <v>39</v>
      </c>
      <c r="S7" s="19">
        <f t="shared" si="6"/>
        <v>0.56000000000000005</v>
      </c>
      <c r="T7" s="20">
        <f t="shared" si="7"/>
        <v>7.5525837233160802</v>
      </c>
      <c r="U7" s="21">
        <f t="shared" si="8"/>
        <v>0.91481600000000007</v>
      </c>
      <c r="V7" s="22">
        <f t="shared" si="9"/>
        <v>6.0477304915445185</v>
      </c>
      <c r="W7" s="22">
        <f t="shared" si="10"/>
        <v>0.94540258560000001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6">
      <c r="A8" s="17" t="s">
        <v>50</v>
      </c>
      <c r="B8" s="19" t="s">
        <v>51</v>
      </c>
      <c r="C8" s="27" t="s">
        <v>52</v>
      </c>
      <c r="D8" s="19" t="s">
        <v>38</v>
      </c>
      <c r="E8" s="18">
        <f t="shared" si="0"/>
        <v>0.85</v>
      </c>
      <c r="F8" s="19" t="s">
        <v>39</v>
      </c>
      <c r="G8" s="18">
        <f t="shared" si="11"/>
        <v>0.44</v>
      </c>
      <c r="H8" s="19" t="s">
        <v>47</v>
      </c>
      <c r="I8" s="18">
        <f t="shared" si="1"/>
        <v>0.68</v>
      </c>
      <c r="J8" s="19" t="s">
        <v>40</v>
      </c>
      <c r="K8" s="18">
        <f t="shared" si="2"/>
        <v>0.62</v>
      </c>
      <c r="L8" s="19" t="s">
        <v>41</v>
      </c>
      <c r="M8" s="18">
        <f t="shared" si="3"/>
        <v>7.52</v>
      </c>
      <c r="N8" s="19" t="s">
        <v>39</v>
      </c>
      <c r="O8" s="19">
        <f t="shared" si="4"/>
        <v>0.56000000000000005</v>
      </c>
      <c r="P8" s="19" t="s">
        <v>39</v>
      </c>
      <c r="Q8" s="19">
        <f t="shared" si="5"/>
        <v>0.56000000000000005</v>
      </c>
      <c r="R8" s="19" t="s">
        <v>42</v>
      </c>
      <c r="S8" s="19">
        <f t="shared" si="6"/>
        <v>0</v>
      </c>
      <c r="T8" s="20">
        <f t="shared" si="7"/>
        <v>7.6180472090586866</v>
      </c>
      <c r="U8" s="21">
        <f t="shared" si="8"/>
        <v>0.80640000000000001</v>
      </c>
      <c r="V8" s="22">
        <f t="shared" si="9"/>
        <v>5.7576309677950803</v>
      </c>
      <c r="W8" s="22">
        <f t="shared" si="10"/>
        <v>1.2961164479999998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6">
      <c r="A9" s="17" t="s">
        <v>53</v>
      </c>
      <c r="B9" s="19" t="s">
        <v>51</v>
      </c>
      <c r="C9" s="27" t="s">
        <v>52</v>
      </c>
      <c r="D9" s="19" t="s">
        <v>38</v>
      </c>
      <c r="E9" s="18">
        <f t="shared" si="0"/>
        <v>0.85</v>
      </c>
      <c r="F9" s="19" t="s">
        <v>39</v>
      </c>
      <c r="G9" s="18">
        <f t="shared" si="11"/>
        <v>0.44</v>
      </c>
      <c r="H9" s="19" t="s">
        <v>47</v>
      </c>
      <c r="I9" s="18">
        <f t="shared" si="1"/>
        <v>0.68</v>
      </c>
      <c r="J9" s="19" t="s">
        <v>40</v>
      </c>
      <c r="K9" s="18">
        <f t="shared" si="2"/>
        <v>0.62</v>
      </c>
      <c r="L9" s="19" t="s">
        <v>41</v>
      </c>
      <c r="M9" s="18">
        <f t="shared" si="3"/>
        <v>7.52</v>
      </c>
      <c r="N9" s="19" t="s">
        <v>39</v>
      </c>
      <c r="O9" s="19">
        <f t="shared" si="4"/>
        <v>0.56000000000000005</v>
      </c>
      <c r="P9" s="19" t="s">
        <v>39</v>
      </c>
      <c r="Q9" s="19">
        <f t="shared" si="5"/>
        <v>0.56000000000000005</v>
      </c>
      <c r="R9" s="19" t="s">
        <v>42</v>
      </c>
      <c r="S9" s="19">
        <f t="shared" si="6"/>
        <v>0</v>
      </c>
      <c r="T9" s="20">
        <f t="shared" si="7"/>
        <v>7.6180472090586866</v>
      </c>
      <c r="U9" s="21">
        <f t="shared" si="8"/>
        <v>0.80640000000000001</v>
      </c>
      <c r="V9" s="22">
        <f t="shared" si="9"/>
        <v>5.7576309677950803</v>
      </c>
      <c r="W9" s="22">
        <f t="shared" si="10"/>
        <v>1.2961164479999998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6">
      <c r="A10" s="17" t="s">
        <v>54</v>
      </c>
      <c r="B10" s="19" t="s">
        <v>51</v>
      </c>
      <c r="C10" s="27" t="s">
        <v>52</v>
      </c>
      <c r="D10" s="19" t="s">
        <v>38</v>
      </c>
      <c r="E10" s="18">
        <f t="shared" si="0"/>
        <v>0.85</v>
      </c>
      <c r="F10" s="19" t="s">
        <v>39</v>
      </c>
      <c r="G10" s="18">
        <f t="shared" si="11"/>
        <v>0.44</v>
      </c>
      <c r="H10" s="19" t="s">
        <v>47</v>
      </c>
      <c r="I10" s="18">
        <f t="shared" si="1"/>
        <v>0.68</v>
      </c>
      <c r="J10" s="19" t="s">
        <v>40</v>
      </c>
      <c r="K10" s="18">
        <f t="shared" si="2"/>
        <v>0.62</v>
      </c>
      <c r="L10" s="19" t="s">
        <v>41</v>
      </c>
      <c r="M10" s="18">
        <f t="shared" si="3"/>
        <v>7.52</v>
      </c>
      <c r="N10" s="19" t="s">
        <v>39</v>
      </c>
      <c r="O10" s="19">
        <f t="shared" si="4"/>
        <v>0.56000000000000005</v>
      </c>
      <c r="P10" s="19" t="s">
        <v>39</v>
      </c>
      <c r="Q10" s="19">
        <f t="shared" si="5"/>
        <v>0.56000000000000005</v>
      </c>
      <c r="R10" s="19" t="s">
        <v>42</v>
      </c>
      <c r="S10" s="19">
        <f t="shared" si="6"/>
        <v>0</v>
      </c>
      <c r="T10" s="20">
        <f t="shared" si="7"/>
        <v>7.6180472090586866</v>
      </c>
      <c r="U10" s="21">
        <f t="shared" si="8"/>
        <v>0.80640000000000001</v>
      </c>
      <c r="V10" s="22">
        <f t="shared" si="9"/>
        <v>5.7576309677950803</v>
      </c>
      <c r="W10" s="22">
        <f t="shared" si="10"/>
        <v>1.2961164479999998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 ht="15">
      <c r="A11" s="17" t="s">
        <v>50</v>
      </c>
      <c r="B11" s="17" t="s">
        <v>44</v>
      </c>
      <c r="C11" s="28" t="s">
        <v>55</v>
      </c>
      <c r="D11" s="17" t="s">
        <v>38</v>
      </c>
      <c r="E11" s="29">
        <f t="shared" si="0"/>
        <v>0.85</v>
      </c>
      <c r="F11" s="17" t="s">
        <v>39</v>
      </c>
      <c r="G11" s="29">
        <f t="shared" si="11"/>
        <v>0.44</v>
      </c>
      <c r="H11" s="17" t="s">
        <v>47</v>
      </c>
      <c r="I11" s="29">
        <f t="shared" si="1"/>
        <v>0.68</v>
      </c>
      <c r="J11" s="17" t="s">
        <v>40</v>
      </c>
      <c r="K11" s="29">
        <f t="shared" si="2"/>
        <v>0.62</v>
      </c>
      <c r="L11" s="17" t="s">
        <v>41</v>
      </c>
      <c r="M11" s="29">
        <f t="shared" si="3"/>
        <v>7.52</v>
      </c>
      <c r="N11" s="17" t="s">
        <v>39</v>
      </c>
      <c r="O11" s="17">
        <f t="shared" si="4"/>
        <v>0.56000000000000005</v>
      </c>
      <c r="P11" s="17" t="s">
        <v>42</v>
      </c>
      <c r="Q11" s="17">
        <f t="shared" si="5"/>
        <v>0</v>
      </c>
      <c r="R11" s="17" t="s">
        <v>42</v>
      </c>
      <c r="S11" s="17">
        <f t="shared" si="6"/>
        <v>0</v>
      </c>
      <c r="T11" s="20">
        <f t="shared" si="7"/>
        <v>5.7120355715551225</v>
      </c>
      <c r="U11" s="21">
        <f t="shared" si="8"/>
        <v>0.56000000000000005</v>
      </c>
      <c r="V11" s="22">
        <f t="shared" si="9"/>
        <v>3.9928053775140029</v>
      </c>
      <c r="W11" s="22">
        <f t="shared" si="10"/>
        <v>1.2961164479999998</v>
      </c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30"/>
    </row>
    <row r="12" spans="1:34" ht="15">
      <c r="A12" s="17" t="s">
        <v>56</v>
      </c>
      <c r="B12" s="17" t="s">
        <v>57</v>
      </c>
      <c r="C12" s="28" t="s">
        <v>58</v>
      </c>
      <c r="D12" s="17" t="s">
        <v>38</v>
      </c>
      <c r="E12" s="29">
        <f t="shared" si="0"/>
        <v>0.85</v>
      </c>
      <c r="F12" s="17" t="s">
        <v>39</v>
      </c>
      <c r="G12" s="29">
        <f>IF(F12="High",0.44,IF(F12="Low",0.77,0))</f>
        <v>0.44</v>
      </c>
      <c r="H12" s="17" t="s">
        <v>42</v>
      </c>
      <c r="I12" s="29">
        <f t="shared" si="1"/>
        <v>0.85</v>
      </c>
      <c r="J12" s="17" t="s">
        <v>40</v>
      </c>
      <c r="K12" s="29">
        <f t="shared" si="2"/>
        <v>0.62</v>
      </c>
      <c r="L12" s="17" t="s">
        <v>59</v>
      </c>
      <c r="M12" s="29">
        <f t="shared" si="3"/>
        <v>6.42</v>
      </c>
      <c r="N12" s="17" t="s">
        <v>42</v>
      </c>
      <c r="O12" s="17">
        <f t="shared" si="4"/>
        <v>0</v>
      </c>
      <c r="P12" s="17" t="s">
        <v>42</v>
      </c>
      <c r="Q12" s="17">
        <f t="shared" si="5"/>
        <v>0</v>
      </c>
      <c r="R12" s="17" t="s">
        <v>39</v>
      </c>
      <c r="S12" s="17">
        <f t="shared" si="6"/>
        <v>0.56000000000000005</v>
      </c>
      <c r="T12" s="20">
        <f t="shared" si="7"/>
        <v>5.2153455600000003</v>
      </c>
      <c r="U12" s="21">
        <f t="shared" si="8"/>
        <v>0.56000000000000005</v>
      </c>
      <c r="V12" s="22">
        <f t="shared" si="9"/>
        <v>3.5952000000000002</v>
      </c>
      <c r="W12" s="22">
        <f t="shared" si="10"/>
        <v>1.6201455599999999</v>
      </c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30"/>
    </row>
    <row r="13" spans="1:34" ht="15">
      <c r="A13" s="17" t="s">
        <v>60</v>
      </c>
      <c r="B13" s="17" t="s">
        <v>36</v>
      </c>
      <c r="C13" s="82" t="s">
        <v>61</v>
      </c>
      <c r="D13" s="17" t="s">
        <v>38</v>
      </c>
      <c r="E13" s="29">
        <f t="shared" si="0"/>
        <v>0.85</v>
      </c>
      <c r="F13" s="17" t="s">
        <v>47</v>
      </c>
      <c r="G13" s="29">
        <f t="shared" ref="G13:G15" si="12">IF(F13="Low",0.77,IF(F13="High",0.44,0))</f>
        <v>0.77</v>
      </c>
      <c r="H13" s="17" t="s">
        <v>47</v>
      </c>
      <c r="I13" s="29">
        <f t="shared" si="1"/>
        <v>0.68</v>
      </c>
      <c r="J13" s="17" t="s">
        <v>40</v>
      </c>
      <c r="K13" s="29">
        <f t="shared" si="2"/>
        <v>0.62</v>
      </c>
      <c r="L13" s="17" t="s">
        <v>41</v>
      </c>
      <c r="M13" s="29">
        <f t="shared" si="3"/>
        <v>7.52</v>
      </c>
      <c r="N13" s="17" t="s">
        <v>39</v>
      </c>
      <c r="O13" s="17">
        <f t="shared" si="4"/>
        <v>0.56000000000000005</v>
      </c>
      <c r="P13" s="17" t="s">
        <v>39</v>
      </c>
      <c r="Q13" s="17">
        <f t="shared" si="5"/>
        <v>0.56000000000000005</v>
      </c>
      <c r="R13" s="17" t="s">
        <v>42</v>
      </c>
      <c r="S13" s="17">
        <f t="shared" si="6"/>
        <v>0</v>
      </c>
      <c r="T13" s="20">
        <f t="shared" si="7"/>
        <v>8.6679015319386874</v>
      </c>
      <c r="U13" s="21">
        <f t="shared" si="8"/>
        <v>0.80640000000000001</v>
      </c>
      <c r="V13" s="22">
        <f t="shared" si="9"/>
        <v>5.7576309677950803</v>
      </c>
      <c r="W13" s="22">
        <f t="shared" si="10"/>
        <v>2.2682037840000002</v>
      </c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30"/>
    </row>
    <row r="14" spans="1:34" ht="15">
      <c r="A14" s="17" t="s">
        <v>62</v>
      </c>
      <c r="B14" s="17" t="s">
        <v>36</v>
      </c>
      <c r="C14" s="76"/>
      <c r="D14" s="17" t="s">
        <v>38</v>
      </c>
      <c r="E14" s="29">
        <f t="shared" si="0"/>
        <v>0.85</v>
      </c>
      <c r="F14" s="17" t="s">
        <v>47</v>
      </c>
      <c r="G14" s="29">
        <f t="shared" si="12"/>
        <v>0.77</v>
      </c>
      <c r="H14" s="17" t="s">
        <v>47</v>
      </c>
      <c r="I14" s="29">
        <f t="shared" si="1"/>
        <v>0.68</v>
      </c>
      <c r="J14" s="17" t="s">
        <v>40</v>
      </c>
      <c r="K14" s="29">
        <f t="shared" si="2"/>
        <v>0.62</v>
      </c>
      <c r="L14" s="17" t="s">
        <v>41</v>
      </c>
      <c r="M14" s="29">
        <f t="shared" si="3"/>
        <v>7.52</v>
      </c>
      <c r="N14" s="17" t="s">
        <v>39</v>
      </c>
      <c r="O14" s="17">
        <f t="shared" si="4"/>
        <v>0.56000000000000005</v>
      </c>
      <c r="P14" s="17" t="s">
        <v>39</v>
      </c>
      <c r="Q14" s="17">
        <f t="shared" si="5"/>
        <v>0.56000000000000005</v>
      </c>
      <c r="R14" s="17" t="s">
        <v>42</v>
      </c>
      <c r="S14" s="17">
        <f t="shared" si="6"/>
        <v>0</v>
      </c>
      <c r="T14" s="20">
        <f t="shared" si="7"/>
        <v>8.6679015319386874</v>
      </c>
      <c r="U14" s="21">
        <f t="shared" si="8"/>
        <v>0.80640000000000001</v>
      </c>
      <c r="V14" s="22">
        <f t="shared" si="9"/>
        <v>5.7576309677950803</v>
      </c>
      <c r="W14" s="22">
        <f t="shared" si="10"/>
        <v>2.2682037840000002</v>
      </c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30"/>
    </row>
    <row r="15" spans="1:34" ht="15">
      <c r="A15" s="17" t="s">
        <v>43</v>
      </c>
      <c r="B15" s="17" t="s">
        <v>63</v>
      </c>
      <c r="C15" s="28" t="s">
        <v>64</v>
      </c>
      <c r="D15" s="17" t="s">
        <v>38</v>
      </c>
      <c r="E15" s="29">
        <f t="shared" si="0"/>
        <v>0.85</v>
      </c>
      <c r="F15" s="17" t="s">
        <v>39</v>
      </c>
      <c r="G15" s="29">
        <f t="shared" si="12"/>
        <v>0.44</v>
      </c>
      <c r="H15" s="17" t="s">
        <v>47</v>
      </c>
      <c r="I15" s="29">
        <f t="shared" si="1"/>
        <v>0.68</v>
      </c>
      <c r="J15" s="17" t="s">
        <v>40</v>
      </c>
      <c r="K15" s="29">
        <f t="shared" si="2"/>
        <v>0.62</v>
      </c>
      <c r="L15" s="17" t="s">
        <v>41</v>
      </c>
      <c r="M15" s="29">
        <f t="shared" si="3"/>
        <v>7.52</v>
      </c>
      <c r="N15" s="17" t="s">
        <v>39</v>
      </c>
      <c r="O15" s="17">
        <f t="shared" si="4"/>
        <v>0.56000000000000005</v>
      </c>
      <c r="P15" s="17" t="s">
        <v>42</v>
      </c>
      <c r="Q15" s="17">
        <f t="shared" si="5"/>
        <v>0</v>
      </c>
      <c r="R15" s="17" t="s">
        <v>42</v>
      </c>
      <c r="S15" s="17">
        <f t="shared" si="6"/>
        <v>0</v>
      </c>
      <c r="T15" s="20">
        <f t="shared" si="7"/>
        <v>5.7120355715551225</v>
      </c>
      <c r="U15" s="21">
        <f t="shared" si="8"/>
        <v>0.56000000000000005</v>
      </c>
      <c r="V15" s="22">
        <f t="shared" si="9"/>
        <v>3.9928053775140029</v>
      </c>
      <c r="W15" s="22">
        <f t="shared" si="10"/>
        <v>1.2961164479999998</v>
      </c>
      <c r="X15" s="29"/>
      <c r="Y15" s="29"/>
      <c r="Z15" s="29"/>
      <c r="AA15" s="29"/>
      <c r="AB15" s="29"/>
      <c r="AC15" s="29"/>
      <c r="AD15" s="29"/>
      <c r="AE15" s="29"/>
      <c r="AF15" s="29"/>
      <c r="AG15" s="30"/>
      <c r="AH15" s="30"/>
    </row>
    <row r="16" spans="1:34" ht="16">
      <c r="A16" s="17" t="s">
        <v>50</v>
      </c>
      <c r="B16" s="19" t="s">
        <v>36</v>
      </c>
      <c r="C16" s="27" t="s">
        <v>65</v>
      </c>
      <c r="D16" s="19" t="s">
        <v>66</v>
      </c>
      <c r="E16" s="18">
        <f t="shared" si="0"/>
        <v>0.55000000000000004</v>
      </c>
      <c r="F16" s="19" t="s">
        <v>39</v>
      </c>
      <c r="G16" s="18">
        <f>IF(F16="High",0.44,IF(F16="Low",0.77,0))</f>
        <v>0.44</v>
      </c>
      <c r="H16" s="19" t="s">
        <v>39</v>
      </c>
      <c r="I16" s="18">
        <f t="shared" si="1"/>
        <v>0.5</v>
      </c>
      <c r="J16" s="19" t="s">
        <v>40</v>
      </c>
      <c r="K16" s="18">
        <f t="shared" si="2"/>
        <v>0.62</v>
      </c>
      <c r="L16" s="19" t="s">
        <v>41</v>
      </c>
      <c r="M16" s="18">
        <f t="shared" si="3"/>
        <v>7.52</v>
      </c>
      <c r="N16" s="19" t="s">
        <v>39</v>
      </c>
      <c r="O16" s="19">
        <f t="shared" si="4"/>
        <v>0.56000000000000005</v>
      </c>
      <c r="P16" s="19" t="s">
        <v>39</v>
      </c>
      <c r="Q16" s="19">
        <f t="shared" si="5"/>
        <v>0.56000000000000005</v>
      </c>
      <c r="R16" s="19" t="s">
        <v>39</v>
      </c>
      <c r="S16" s="19">
        <f t="shared" si="6"/>
        <v>0.56000000000000005</v>
      </c>
      <c r="T16" s="20">
        <f t="shared" si="7"/>
        <v>7.1975464828680806</v>
      </c>
      <c r="U16" s="21">
        <f t="shared" si="8"/>
        <v>0.91481600000000007</v>
      </c>
      <c r="V16" s="22">
        <f t="shared" si="9"/>
        <v>6.0477304915445185</v>
      </c>
      <c r="W16" s="22">
        <f t="shared" si="10"/>
        <v>0.61666440000000011</v>
      </c>
      <c r="X16" s="18"/>
      <c r="Y16" s="18"/>
      <c r="Z16" s="19" t="s">
        <v>67</v>
      </c>
      <c r="AA16" s="18"/>
      <c r="AB16" s="18"/>
      <c r="AC16" s="18"/>
      <c r="AD16" s="18"/>
      <c r="AE16" s="18"/>
      <c r="AF16" s="18"/>
      <c r="AG16" s="23"/>
      <c r="AH16" s="23"/>
    </row>
    <row r="17" spans="1:34" ht="16">
      <c r="A17" s="17" t="s">
        <v>68</v>
      </c>
      <c r="B17" s="19" t="s">
        <v>57</v>
      </c>
      <c r="C17" s="27" t="s">
        <v>69</v>
      </c>
      <c r="D17" s="19" t="s">
        <v>38</v>
      </c>
      <c r="E17" s="18">
        <f t="shared" si="0"/>
        <v>0.85</v>
      </c>
      <c r="F17" s="19" t="s">
        <v>47</v>
      </c>
      <c r="G17" s="18">
        <f t="shared" ref="G17:G28" si="13">IF(F17="Low",0.77,IF(F17="High",0.44,0))</f>
        <v>0.77</v>
      </c>
      <c r="H17" s="19" t="s">
        <v>47</v>
      </c>
      <c r="I17" s="18">
        <f t="shared" si="1"/>
        <v>0.62</v>
      </c>
      <c r="J17" s="19" t="s">
        <v>40</v>
      </c>
      <c r="K17" s="18">
        <f t="shared" si="2"/>
        <v>0.62</v>
      </c>
      <c r="L17" s="19" t="s">
        <v>59</v>
      </c>
      <c r="M17" s="18">
        <f t="shared" si="3"/>
        <v>6.42</v>
      </c>
      <c r="N17" s="17" t="s">
        <v>42</v>
      </c>
      <c r="O17" s="17">
        <f t="shared" si="4"/>
        <v>0</v>
      </c>
      <c r="P17" s="17" t="s">
        <v>42</v>
      </c>
      <c r="Q17" s="17">
        <f t="shared" si="5"/>
        <v>0</v>
      </c>
      <c r="R17" s="17" t="s">
        <v>39</v>
      </c>
      <c r="S17" s="19">
        <f t="shared" si="6"/>
        <v>0.56000000000000005</v>
      </c>
      <c r="T17" s="20">
        <f t="shared" si="7"/>
        <v>5.6632681560000009</v>
      </c>
      <c r="U17" s="21">
        <f t="shared" si="8"/>
        <v>0.56000000000000005</v>
      </c>
      <c r="V17" s="22">
        <f t="shared" si="9"/>
        <v>3.5952000000000002</v>
      </c>
      <c r="W17" s="22">
        <f t="shared" si="10"/>
        <v>2.0680681560000003</v>
      </c>
      <c r="X17" s="18"/>
      <c r="Y17" s="18"/>
      <c r="Z17" s="31">
        <f>SUM(T:T)</f>
        <v>662.99252466623739</v>
      </c>
      <c r="AA17" s="18"/>
      <c r="AB17" s="18"/>
      <c r="AC17" s="18"/>
      <c r="AD17" s="18"/>
      <c r="AE17" s="18"/>
      <c r="AF17" s="18"/>
      <c r="AG17" s="23"/>
      <c r="AH17" s="23"/>
    </row>
    <row r="18" spans="1:34" ht="16">
      <c r="A18" s="17" t="s">
        <v>68</v>
      </c>
      <c r="B18" s="19" t="s">
        <v>51</v>
      </c>
      <c r="C18" s="27" t="s">
        <v>70</v>
      </c>
      <c r="D18" s="19" t="s">
        <v>38</v>
      </c>
      <c r="E18" s="18">
        <f t="shared" si="0"/>
        <v>0.85</v>
      </c>
      <c r="F18" s="19" t="s">
        <v>39</v>
      </c>
      <c r="G18" s="18">
        <f t="shared" si="13"/>
        <v>0.44</v>
      </c>
      <c r="H18" s="19" t="s">
        <v>47</v>
      </c>
      <c r="I18" s="18">
        <f t="shared" si="1"/>
        <v>0.68</v>
      </c>
      <c r="J18" s="19" t="s">
        <v>40</v>
      </c>
      <c r="K18" s="18">
        <f t="shared" si="2"/>
        <v>0.62</v>
      </c>
      <c r="L18" s="19" t="s">
        <v>41</v>
      </c>
      <c r="M18" s="18">
        <f t="shared" si="3"/>
        <v>7.52</v>
      </c>
      <c r="N18" s="19" t="s">
        <v>39</v>
      </c>
      <c r="O18" s="19">
        <f t="shared" si="4"/>
        <v>0.56000000000000005</v>
      </c>
      <c r="P18" s="19" t="s">
        <v>42</v>
      </c>
      <c r="Q18" s="19">
        <f t="shared" si="5"/>
        <v>0</v>
      </c>
      <c r="R18" s="19" t="s">
        <v>42</v>
      </c>
      <c r="S18" s="19">
        <f t="shared" si="6"/>
        <v>0</v>
      </c>
      <c r="T18" s="20">
        <f t="shared" si="7"/>
        <v>5.7120355715551225</v>
      </c>
      <c r="U18" s="21">
        <f t="shared" si="8"/>
        <v>0.56000000000000005</v>
      </c>
      <c r="V18" s="22">
        <f t="shared" si="9"/>
        <v>3.9928053775140029</v>
      </c>
      <c r="W18" s="22">
        <f t="shared" si="10"/>
        <v>1.2961164479999998</v>
      </c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6">
      <c r="A19" s="17" t="s">
        <v>50</v>
      </c>
      <c r="B19" s="19" t="s">
        <v>51</v>
      </c>
      <c r="C19" s="27" t="s">
        <v>71</v>
      </c>
      <c r="D19" s="19" t="s">
        <v>38</v>
      </c>
      <c r="E19" s="18">
        <f t="shared" si="0"/>
        <v>0.85</v>
      </c>
      <c r="F19" s="19" t="s">
        <v>39</v>
      </c>
      <c r="G19" s="18">
        <f t="shared" si="13"/>
        <v>0.44</v>
      </c>
      <c r="H19" s="19" t="s">
        <v>47</v>
      </c>
      <c r="I19" s="18">
        <f t="shared" si="1"/>
        <v>0.68</v>
      </c>
      <c r="J19" s="19" t="s">
        <v>40</v>
      </c>
      <c r="K19" s="18">
        <f t="shared" si="2"/>
        <v>0.62</v>
      </c>
      <c r="L19" s="19" t="s">
        <v>41</v>
      </c>
      <c r="M19" s="18">
        <f t="shared" si="3"/>
        <v>7.52</v>
      </c>
      <c r="N19" s="19" t="s">
        <v>39</v>
      </c>
      <c r="O19" s="19">
        <f t="shared" si="4"/>
        <v>0.56000000000000005</v>
      </c>
      <c r="P19" s="19" t="s">
        <v>42</v>
      </c>
      <c r="Q19" s="19">
        <f t="shared" si="5"/>
        <v>0</v>
      </c>
      <c r="R19" s="19" t="s">
        <v>42</v>
      </c>
      <c r="S19" s="19">
        <f t="shared" si="6"/>
        <v>0</v>
      </c>
      <c r="T19" s="20">
        <f t="shared" si="7"/>
        <v>5.7120355715551225</v>
      </c>
      <c r="U19" s="21">
        <f t="shared" si="8"/>
        <v>0.56000000000000005</v>
      </c>
      <c r="V19" s="22">
        <f t="shared" si="9"/>
        <v>3.9928053775140029</v>
      </c>
      <c r="W19" s="22">
        <f t="shared" si="10"/>
        <v>1.2961164479999998</v>
      </c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 ht="16">
      <c r="A20" s="17" t="s">
        <v>54</v>
      </c>
      <c r="B20" s="19" t="s">
        <v>63</v>
      </c>
      <c r="C20" s="27" t="s">
        <v>72</v>
      </c>
      <c r="D20" s="19" t="s">
        <v>38</v>
      </c>
      <c r="E20" s="18">
        <f t="shared" si="0"/>
        <v>0.85</v>
      </c>
      <c r="F20" s="19" t="s">
        <v>47</v>
      </c>
      <c r="G20" s="18">
        <f t="shared" si="13"/>
        <v>0.77</v>
      </c>
      <c r="H20" s="19" t="s">
        <v>47</v>
      </c>
      <c r="I20" s="18">
        <f t="shared" si="1"/>
        <v>0.68</v>
      </c>
      <c r="J20" s="19" t="s">
        <v>40</v>
      </c>
      <c r="K20" s="18">
        <f t="shared" si="2"/>
        <v>0.62</v>
      </c>
      <c r="L20" s="19" t="s">
        <v>41</v>
      </c>
      <c r="M20" s="18">
        <f t="shared" si="3"/>
        <v>7.52</v>
      </c>
      <c r="N20" s="19" t="s">
        <v>42</v>
      </c>
      <c r="O20" s="19">
        <f t="shared" si="4"/>
        <v>0</v>
      </c>
      <c r="P20" s="19" t="s">
        <v>42</v>
      </c>
      <c r="Q20" s="19">
        <f t="shared" si="5"/>
        <v>0</v>
      </c>
      <c r="R20" s="19" t="s">
        <v>39</v>
      </c>
      <c r="S20" s="19">
        <f t="shared" si="6"/>
        <v>0.56000000000000005</v>
      </c>
      <c r="T20" s="20">
        <f t="shared" si="7"/>
        <v>6.7618898944351242</v>
      </c>
      <c r="U20" s="21">
        <f t="shared" si="8"/>
        <v>0.56000000000000005</v>
      </c>
      <c r="V20" s="22">
        <f t="shared" si="9"/>
        <v>3.9928053775140029</v>
      </c>
      <c r="W20" s="22">
        <f t="shared" si="10"/>
        <v>2.2682037840000002</v>
      </c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 ht="15">
      <c r="A21" s="17" t="s">
        <v>43</v>
      </c>
      <c r="B21" s="17" t="s">
        <v>73</v>
      </c>
      <c r="C21" s="28" t="s">
        <v>74</v>
      </c>
      <c r="D21" s="17" t="s">
        <v>38</v>
      </c>
      <c r="E21" s="29">
        <f t="shared" si="0"/>
        <v>0.85</v>
      </c>
      <c r="F21" s="17" t="s">
        <v>39</v>
      </c>
      <c r="G21" s="29">
        <f t="shared" si="13"/>
        <v>0.44</v>
      </c>
      <c r="H21" s="17" t="s">
        <v>42</v>
      </c>
      <c r="I21" s="29">
        <f t="shared" si="1"/>
        <v>0.85</v>
      </c>
      <c r="J21" s="17" t="s">
        <v>42</v>
      </c>
      <c r="K21" s="29">
        <f t="shared" si="2"/>
        <v>0.85</v>
      </c>
      <c r="L21" s="17" t="s">
        <v>59</v>
      </c>
      <c r="M21" s="29">
        <f t="shared" si="3"/>
        <v>6.42</v>
      </c>
      <c r="N21" s="17" t="s">
        <v>39</v>
      </c>
      <c r="O21" s="17">
        <f t="shared" si="4"/>
        <v>0.56000000000000005</v>
      </c>
      <c r="P21" s="17" t="s">
        <v>42</v>
      </c>
      <c r="Q21" s="17">
        <f t="shared" si="5"/>
        <v>0</v>
      </c>
      <c r="R21" s="17" t="s">
        <v>42</v>
      </c>
      <c r="S21" s="17">
        <f t="shared" si="6"/>
        <v>0</v>
      </c>
      <c r="T21" s="20">
        <f t="shared" si="7"/>
        <v>5.8163672999999996</v>
      </c>
      <c r="U21" s="21">
        <f t="shared" si="8"/>
        <v>0.56000000000000005</v>
      </c>
      <c r="V21" s="22">
        <f t="shared" si="9"/>
        <v>3.5952000000000002</v>
      </c>
      <c r="W21" s="22">
        <f t="shared" si="10"/>
        <v>2.2211672999999998</v>
      </c>
      <c r="X21" s="29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 ht="16">
      <c r="A22" s="17" t="s">
        <v>48</v>
      </c>
      <c r="B22" s="19" t="s">
        <v>63</v>
      </c>
      <c r="C22" s="27" t="s">
        <v>75</v>
      </c>
      <c r="D22" s="19" t="s">
        <v>38</v>
      </c>
      <c r="E22" s="18">
        <f t="shared" si="0"/>
        <v>0.85</v>
      </c>
      <c r="F22" s="19" t="s">
        <v>39</v>
      </c>
      <c r="G22" s="18">
        <f t="shared" si="13"/>
        <v>0.44</v>
      </c>
      <c r="H22" s="19" t="s">
        <v>39</v>
      </c>
      <c r="I22" s="18">
        <f t="shared" si="1"/>
        <v>0.5</v>
      </c>
      <c r="J22" s="19" t="s">
        <v>40</v>
      </c>
      <c r="K22" s="18">
        <f t="shared" si="2"/>
        <v>0.62</v>
      </c>
      <c r="L22" s="19" t="s">
        <v>41</v>
      </c>
      <c r="M22" s="18">
        <f t="shared" si="3"/>
        <v>7.52</v>
      </c>
      <c r="N22" s="19" t="s">
        <v>39</v>
      </c>
      <c r="O22" s="19">
        <f t="shared" si="4"/>
        <v>0.56000000000000005</v>
      </c>
      <c r="P22" s="19" t="s">
        <v>42</v>
      </c>
      <c r="Q22" s="19">
        <f t="shared" si="5"/>
        <v>0</v>
      </c>
      <c r="R22" s="19" t="s">
        <v>47</v>
      </c>
      <c r="S22" s="19">
        <f t="shared" si="6"/>
        <v>0.22</v>
      </c>
      <c r="T22" s="20">
        <f t="shared" si="7"/>
        <v>6.1239789795723967</v>
      </c>
      <c r="U22" s="21">
        <f t="shared" si="8"/>
        <v>0.65680000000000005</v>
      </c>
      <c r="V22" s="22">
        <f t="shared" si="9"/>
        <v>4.7173241070114784</v>
      </c>
      <c r="W22" s="22">
        <f t="shared" si="10"/>
        <v>0.95302679999999995</v>
      </c>
      <c r="X22" s="18"/>
      <c r="Y22" s="18"/>
      <c r="Z22" s="18"/>
      <c r="AA22" s="18"/>
      <c r="AB22" s="18"/>
      <c r="AC22" s="18"/>
      <c r="AD22" s="18"/>
      <c r="AE22" s="18"/>
      <c r="AF22" s="18"/>
      <c r="AG22" s="23"/>
    </row>
    <row r="23" spans="1:34" ht="16">
      <c r="A23" s="17" t="s">
        <v>43</v>
      </c>
      <c r="B23" s="19" t="s">
        <v>44</v>
      </c>
      <c r="C23" s="27" t="s">
        <v>45</v>
      </c>
      <c r="D23" s="19" t="s">
        <v>46</v>
      </c>
      <c r="E23" s="18">
        <f t="shared" si="0"/>
        <v>0.62</v>
      </c>
      <c r="F23" s="19" t="s">
        <v>39</v>
      </c>
      <c r="G23" s="18">
        <f t="shared" si="13"/>
        <v>0.44</v>
      </c>
      <c r="H23" s="19" t="s">
        <v>47</v>
      </c>
      <c r="I23" s="18">
        <f t="shared" si="1"/>
        <v>0.68</v>
      </c>
      <c r="J23" s="19" t="s">
        <v>40</v>
      </c>
      <c r="K23" s="18">
        <f t="shared" si="2"/>
        <v>0.62</v>
      </c>
      <c r="L23" s="19" t="s">
        <v>41</v>
      </c>
      <c r="M23" s="18">
        <f t="shared" si="3"/>
        <v>7.52</v>
      </c>
      <c r="N23" s="19" t="s">
        <v>39</v>
      </c>
      <c r="O23" s="19">
        <f t="shared" si="4"/>
        <v>0.56000000000000005</v>
      </c>
      <c r="P23" s="19" t="s">
        <v>39</v>
      </c>
      <c r="Q23" s="19">
        <f t="shared" si="5"/>
        <v>0.56000000000000005</v>
      </c>
      <c r="R23" s="19" t="s">
        <v>42</v>
      </c>
      <c r="S23" s="19">
        <f t="shared" si="6"/>
        <v>0</v>
      </c>
      <c r="T23" s="20">
        <f t="shared" si="7"/>
        <v>7.2392762376666875</v>
      </c>
      <c r="U23" s="21">
        <f t="shared" si="8"/>
        <v>0.80640000000000001</v>
      </c>
      <c r="V23" s="22">
        <f t="shared" si="9"/>
        <v>5.7576309677950803</v>
      </c>
      <c r="W23" s="22">
        <f t="shared" si="10"/>
        <v>0.94540258560000001</v>
      </c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 ht="16">
      <c r="A24" s="17" t="s">
        <v>48</v>
      </c>
      <c r="B24" s="19" t="s">
        <v>44</v>
      </c>
      <c r="C24" s="27" t="s">
        <v>76</v>
      </c>
      <c r="D24" s="19" t="s">
        <v>38</v>
      </c>
      <c r="E24" s="18">
        <f t="shared" si="0"/>
        <v>0.85</v>
      </c>
      <c r="F24" s="19" t="s">
        <v>47</v>
      </c>
      <c r="G24" s="18">
        <f t="shared" si="13"/>
        <v>0.77</v>
      </c>
      <c r="H24" s="19" t="s">
        <v>42</v>
      </c>
      <c r="I24" s="18">
        <f t="shared" si="1"/>
        <v>0.85</v>
      </c>
      <c r="J24" s="19" t="s">
        <v>40</v>
      </c>
      <c r="K24" s="18">
        <f t="shared" si="2"/>
        <v>0.62</v>
      </c>
      <c r="L24" s="19" t="s">
        <v>59</v>
      </c>
      <c r="M24" s="18">
        <f t="shared" si="3"/>
        <v>6.42</v>
      </c>
      <c r="N24" s="19" t="s">
        <v>47</v>
      </c>
      <c r="O24" s="19">
        <f t="shared" si="4"/>
        <v>0.22</v>
      </c>
      <c r="P24" s="19" t="s">
        <v>47</v>
      </c>
      <c r="Q24" s="19">
        <f t="shared" si="5"/>
        <v>0.22</v>
      </c>
      <c r="R24" s="19" t="s">
        <v>39</v>
      </c>
      <c r="S24" s="19">
        <f t="shared" si="6"/>
        <v>0.56000000000000005</v>
      </c>
      <c r="T24" s="20">
        <f t="shared" si="7"/>
        <v>7.5366464100000012</v>
      </c>
      <c r="U24" s="21">
        <f t="shared" si="8"/>
        <v>0.73230400000000007</v>
      </c>
      <c r="V24" s="22">
        <f t="shared" si="9"/>
        <v>4.7013916800000004</v>
      </c>
      <c r="W24" s="22">
        <f t="shared" si="10"/>
        <v>2.8352547300000004</v>
      </c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 ht="15">
      <c r="A25" s="17" t="s">
        <v>77</v>
      </c>
      <c r="B25" s="17" t="s">
        <v>63</v>
      </c>
      <c r="C25" s="28" t="s">
        <v>78</v>
      </c>
      <c r="D25" s="17" t="s">
        <v>38</v>
      </c>
      <c r="E25" s="29">
        <f t="shared" si="0"/>
        <v>0.85</v>
      </c>
      <c r="F25" s="17" t="s">
        <v>47</v>
      </c>
      <c r="G25" s="29">
        <f t="shared" si="13"/>
        <v>0.77</v>
      </c>
      <c r="H25" s="17" t="s">
        <v>47</v>
      </c>
      <c r="I25" s="29">
        <f t="shared" si="1"/>
        <v>0.68</v>
      </c>
      <c r="J25" s="17" t="s">
        <v>40</v>
      </c>
      <c r="K25" s="29">
        <f t="shared" si="2"/>
        <v>0.62</v>
      </c>
      <c r="L25" s="17" t="s">
        <v>41</v>
      </c>
      <c r="M25" s="29">
        <f t="shared" si="3"/>
        <v>7.52</v>
      </c>
      <c r="N25" s="17" t="s">
        <v>39</v>
      </c>
      <c r="O25" s="17">
        <f t="shared" si="4"/>
        <v>0.56000000000000005</v>
      </c>
      <c r="P25" s="17" t="s">
        <v>39</v>
      </c>
      <c r="Q25" s="17">
        <f t="shared" si="5"/>
        <v>0.56000000000000005</v>
      </c>
      <c r="R25" s="17" t="s">
        <v>39</v>
      </c>
      <c r="S25" s="17">
        <f t="shared" si="6"/>
        <v>0.56000000000000005</v>
      </c>
      <c r="T25" s="20">
        <f t="shared" si="7"/>
        <v>8.9812090175880819</v>
      </c>
      <c r="U25" s="21">
        <f t="shared" si="8"/>
        <v>0.91481600000000007</v>
      </c>
      <c r="V25" s="22">
        <f t="shared" si="9"/>
        <v>6.0477304915445185</v>
      </c>
      <c r="W25" s="22">
        <f t="shared" si="10"/>
        <v>2.2682037840000002</v>
      </c>
      <c r="X25" s="29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 ht="15">
      <c r="A26" s="17" t="s">
        <v>56</v>
      </c>
      <c r="B26" s="17" t="s">
        <v>63</v>
      </c>
      <c r="C26" s="28" t="s">
        <v>64</v>
      </c>
      <c r="D26" s="17" t="s">
        <v>38</v>
      </c>
      <c r="E26" s="29">
        <f t="shared" si="0"/>
        <v>0.85</v>
      </c>
      <c r="F26" s="17" t="s">
        <v>39</v>
      </c>
      <c r="G26" s="29">
        <f t="shared" si="13"/>
        <v>0.44</v>
      </c>
      <c r="H26" s="17" t="s">
        <v>47</v>
      </c>
      <c r="I26" s="29">
        <f t="shared" si="1"/>
        <v>0.68</v>
      </c>
      <c r="J26" s="17" t="s">
        <v>40</v>
      </c>
      <c r="K26" s="29">
        <f t="shared" si="2"/>
        <v>0.62</v>
      </c>
      <c r="L26" s="17" t="s">
        <v>41</v>
      </c>
      <c r="M26" s="29">
        <f t="shared" si="3"/>
        <v>7.52</v>
      </c>
      <c r="N26" s="17" t="s">
        <v>39</v>
      </c>
      <c r="O26" s="17">
        <f t="shared" si="4"/>
        <v>0.56000000000000005</v>
      </c>
      <c r="P26" s="17" t="s">
        <v>42</v>
      </c>
      <c r="Q26" s="17">
        <f t="shared" si="5"/>
        <v>0</v>
      </c>
      <c r="R26" s="17" t="s">
        <v>42</v>
      </c>
      <c r="S26" s="17">
        <f t="shared" si="6"/>
        <v>0</v>
      </c>
      <c r="T26" s="20">
        <f t="shared" si="7"/>
        <v>5.7120355715551225</v>
      </c>
      <c r="U26" s="21">
        <f t="shared" si="8"/>
        <v>0.56000000000000005</v>
      </c>
      <c r="V26" s="22">
        <f t="shared" si="9"/>
        <v>3.9928053775140029</v>
      </c>
      <c r="W26" s="22">
        <f t="shared" si="10"/>
        <v>1.2961164479999998</v>
      </c>
      <c r="X26" s="29"/>
      <c r="Y26" s="29"/>
      <c r="Z26" s="29"/>
      <c r="AA26" s="29"/>
      <c r="AB26" s="29"/>
      <c r="AC26" s="29"/>
      <c r="AD26" s="29"/>
      <c r="AE26" s="29"/>
      <c r="AF26" s="29"/>
      <c r="AG26" s="30"/>
      <c r="AH26" s="30"/>
    </row>
    <row r="27" spans="1:34" ht="16">
      <c r="A27" s="17" t="s">
        <v>48</v>
      </c>
      <c r="B27" s="19" t="s">
        <v>51</v>
      </c>
      <c r="C27" s="27" t="s">
        <v>79</v>
      </c>
      <c r="D27" s="19" t="s">
        <v>38</v>
      </c>
      <c r="E27" s="18">
        <f t="shared" si="0"/>
        <v>0.85</v>
      </c>
      <c r="F27" s="19" t="s">
        <v>47</v>
      </c>
      <c r="G27" s="18">
        <f t="shared" si="13"/>
        <v>0.77</v>
      </c>
      <c r="H27" s="19" t="s">
        <v>42</v>
      </c>
      <c r="I27" s="18">
        <f t="shared" si="1"/>
        <v>0.85</v>
      </c>
      <c r="J27" s="19" t="s">
        <v>42</v>
      </c>
      <c r="K27" s="18">
        <f t="shared" si="2"/>
        <v>0.85</v>
      </c>
      <c r="L27" s="19" t="s">
        <v>59</v>
      </c>
      <c r="M27" s="18">
        <f t="shared" si="3"/>
        <v>6.42</v>
      </c>
      <c r="N27" s="19" t="s">
        <v>39</v>
      </c>
      <c r="O27" s="19">
        <f t="shared" si="4"/>
        <v>0.56000000000000005</v>
      </c>
      <c r="P27" s="19" t="s">
        <v>42</v>
      </c>
      <c r="Q27" s="19">
        <f t="shared" si="5"/>
        <v>0</v>
      </c>
      <c r="R27" s="19" t="s">
        <v>42</v>
      </c>
      <c r="S27" s="19">
        <f t="shared" si="6"/>
        <v>0</v>
      </c>
      <c r="T27" s="20">
        <f t="shared" si="7"/>
        <v>7.4822427750000005</v>
      </c>
      <c r="U27" s="21">
        <f t="shared" si="8"/>
        <v>0.56000000000000005</v>
      </c>
      <c r="V27" s="22">
        <f t="shared" si="9"/>
        <v>3.5952000000000002</v>
      </c>
      <c r="W27" s="22">
        <f t="shared" si="10"/>
        <v>3.8870427750000003</v>
      </c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 ht="16">
      <c r="A28" s="17" t="s">
        <v>50</v>
      </c>
      <c r="B28" s="19" t="s">
        <v>57</v>
      </c>
      <c r="C28" s="27" t="s">
        <v>80</v>
      </c>
      <c r="D28" s="19" t="s">
        <v>66</v>
      </c>
      <c r="E28" s="18">
        <f t="shared" si="0"/>
        <v>0.55000000000000004</v>
      </c>
      <c r="F28" s="19" t="s">
        <v>47</v>
      </c>
      <c r="G28" s="18">
        <f t="shared" si="13"/>
        <v>0.77</v>
      </c>
      <c r="H28" s="19" t="s">
        <v>39</v>
      </c>
      <c r="I28" s="18">
        <f t="shared" si="1"/>
        <v>0.5</v>
      </c>
      <c r="J28" s="19" t="s">
        <v>42</v>
      </c>
      <c r="K28" s="18">
        <f t="shared" si="2"/>
        <v>0.85</v>
      </c>
      <c r="L28" s="19" t="s">
        <v>41</v>
      </c>
      <c r="M28" s="18">
        <f t="shared" si="3"/>
        <v>7.52</v>
      </c>
      <c r="N28" s="19" t="s">
        <v>39</v>
      </c>
      <c r="O28" s="19">
        <f t="shared" si="4"/>
        <v>0.56000000000000005</v>
      </c>
      <c r="P28" s="19" t="s">
        <v>39</v>
      </c>
      <c r="Q28" s="19">
        <f t="shared" si="5"/>
        <v>0.56000000000000005</v>
      </c>
      <c r="R28" s="19" t="s">
        <v>39</v>
      </c>
      <c r="S28" s="19">
        <f t="shared" si="6"/>
        <v>0.56000000000000005</v>
      </c>
      <c r="T28" s="20">
        <f t="shared" si="7"/>
        <v>8.1294059608680804</v>
      </c>
      <c r="U28" s="21">
        <f t="shared" si="8"/>
        <v>0.91481600000000007</v>
      </c>
      <c r="V28" s="22">
        <f t="shared" si="9"/>
        <v>6.0477304915445185</v>
      </c>
      <c r="W28" s="22">
        <f t="shared" si="10"/>
        <v>1.4794972500000001</v>
      </c>
      <c r="X28" s="18"/>
      <c r="Y28" s="18"/>
      <c r="Z28" s="18"/>
      <c r="AA28" s="18"/>
      <c r="AB28" s="18"/>
      <c r="AC28" s="18"/>
      <c r="AD28" s="18"/>
      <c r="AE28" s="18"/>
      <c r="AF28" s="18"/>
      <c r="AG28" s="23"/>
      <c r="AH28" s="23"/>
    </row>
    <row r="29" spans="1:34" ht="15">
      <c r="A29" s="17" t="s">
        <v>56</v>
      </c>
      <c r="B29" s="17" t="s">
        <v>57</v>
      </c>
      <c r="C29" s="28" t="s">
        <v>58</v>
      </c>
      <c r="D29" s="17" t="s">
        <v>38</v>
      </c>
      <c r="E29" s="29">
        <f t="shared" si="0"/>
        <v>0.85</v>
      </c>
      <c r="F29" s="17" t="s">
        <v>39</v>
      </c>
      <c r="G29" s="29">
        <f>IF(F29="High",0.44,IF(F29="Low",0.77,0))</f>
        <v>0.44</v>
      </c>
      <c r="H29" s="17" t="s">
        <v>42</v>
      </c>
      <c r="I29" s="29">
        <f t="shared" si="1"/>
        <v>0.85</v>
      </c>
      <c r="J29" s="17" t="s">
        <v>40</v>
      </c>
      <c r="K29" s="29">
        <f t="shared" si="2"/>
        <v>0.62</v>
      </c>
      <c r="L29" s="17" t="s">
        <v>59</v>
      </c>
      <c r="M29" s="29">
        <f t="shared" si="3"/>
        <v>6.42</v>
      </c>
      <c r="N29" s="17" t="s">
        <v>42</v>
      </c>
      <c r="O29" s="17">
        <f t="shared" si="4"/>
        <v>0</v>
      </c>
      <c r="P29" s="17" t="s">
        <v>42</v>
      </c>
      <c r="Q29" s="17">
        <f t="shared" si="5"/>
        <v>0</v>
      </c>
      <c r="R29" s="17" t="s">
        <v>39</v>
      </c>
      <c r="S29" s="17">
        <f t="shared" si="6"/>
        <v>0.56000000000000005</v>
      </c>
      <c r="T29" s="20">
        <f t="shared" si="7"/>
        <v>5.2153455600000003</v>
      </c>
      <c r="U29" s="21">
        <f t="shared" si="8"/>
        <v>0.56000000000000005</v>
      </c>
      <c r="V29" s="22">
        <f t="shared" si="9"/>
        <v>3.5952000000000002</v>
      </c>
      <c r="W29" s="22">
        <f t="shared" si="10"/>
        <v>1.6201455599999999</v>
      </c>
      <c r="X29" s="29"/>
      <c r="Y29" s="29"/>
      <c r="Z29" s="29"/>
      <c r="AA29" s="29"/>
      <c r="AB29" s="29"/>
      <c r="AC29" s="29"/>
      <c r="AD29" s="29"/>
      <c r="AE29" s="29"/>
      <c r="AF29" s="29"/>
      <c r="AG29" s="30"/>
      <c r="AH29" s="30"/>
    </row>
    <row r="30" spans="1:34" ht="15">
      <c r="A30" s="17" t="s">
        <v>54</v>
      </c>
      <c r="B30" s="17" t="s">
        <v>73</v>
      </c>
      <c r="C30" s="28" t="s">
        <v>81</v>
      </c>
      <c r="D30" s="17" t="s">
        <v>38</v>
      </c>
      <c r="E30" s="29">
        <f t="shared" si="0"/>
        <v>0.85</v>
      </c>
      <c r="F30" s="17" t="s">
        <v>47</v>
      </c>
      <c r="G30" s="29">
        <f>IF(F30="Low",0.77,IF(F30="High",0.44,0))</f>
        <v>0.77</v>
      </c>
      <c r="H30" s="17" t="s">
        <v>47</v>
      </c>
      <c r="I30" s="29">
        <f t="shared" si="1"/>
        <v>0.62</v>
      </c>
      <c r="J30" s="17" t="s">
        <v>42</v>
      </c>
      <c r="K30" s="29">
        <f t="shared" si="2"/>
        <v>0.85</v>
      </c>
      <c r="L30" s="17" t="s">
        <v>59</v>
      </c>
      <c r="M30" s="29">
        <f t="shared" si="3"/>
        <v>6.42</v>
      </c>
      <c r="N30" s="17" t="s">
        <v>42</v>
      </c>
      <c r="O30" s="17">
        <f t="shared" si="4"/>
        <v>0</v>
      </c>
      <c r="P30" s="17" t="s">
        <v>39</v>
      </c>
      <c r="Q30" s="17">
        <f t="shared" si="5"/>
        <v>0.56000000000000005</v>
      </c>
      <c r="R30" s="17" t="s">
        <v>42</v>
      </c>
      <c r="S30" s="17">
        <f t="shared" si="6"/>
        <v>0</v>
      </c>
      <c r="T30" s="20">
        <f t="shared" si="7"/>
        <v>6.4304547300000001</v>
      </c>
      <c r="U30" s="21">
        <f t="shared" si="8"/>
        <v>0.56000000000000005</v>
      </c>
      <c r="V30" s="22">
        <f t="shared" si="9"/>
        <v>3.5952000000000002</v>
      </c>
      <c r="W30" s="22">
        <f t="shared" si="10"/>
        <v>2.8352547299999999</v>
      </c>
      <c r="X30" s="29"/>
      <c r="Y30" s="29"/>
      <c r="Z30" s="29"/>
      <c r="AA30" s="29"/>
      <c r="AB30" s="29"/>
      <c r="AC30" s="29"/>
      <c r="AD30" s="29"/>
      <c r="AE30" s="29"/>
      <c r="AF30" s="29"/>
      <c r="AG30" s="30"/>
      <c r="AH30" s="30"/>
    </row>
    <row r="31" spans="1:34" ht="45">
      <c r="A31" s="17" t="s">
        <v>48</v>
      </c>
      <c r="B31" s="17" t="s">
        <v>44</v>
      </c>
      <c r="C31" s="28" t="s">
        <v>82</v>
      </c>
      <c r="D31" s="19" t="s">
        <v>38</v>
      </c>
      <c r="E31" s="18">
        <f t="shared" si="0"/>
        <v>0.85</v>
      </c>
      <c r="F31" s="19" t="s">
        <v>47</v>
      </c>
      <c r="G31" s="18">
        <f>IF(F31="High",0.44,IF(F31="Low",0.77,0))</f>
        <v>0.77</v>
      </c>
      <c r="H31" s="19" t="s">
        <v>42</v>
      </c>
      <c r="I31" s="18">
        <f t="shared" si="1"/>
        <v>0.85</v>
      </c>
      <c r="J31" s="19" t="s">
        <v>42</v>
      </c>
      <c r="K31" s="18">
        <f t="shared" si="2"/>
        <v>0.85</v>
      </c>
      <c r="L31" s="19" t="s">
        <v>59</v>
      </c>
      <c r="M31" s="18">
        <f t="shared" si="3"/>
        <v>6.42</v>
      </c>
      <c r="N31" s="19" t="s">
        <v>39</v>
      </c>
      <c r="O31" s="19">
        <f t="shared" si="4"/>
        <v>0.56000000000000005</v>
      </c>
      <c r="P31" s="19" t="s">
        <v>39</v>
      </c>
      <c r="Q31" s="19">
        <f t="shared" si="5"/>
        <v>0.56000000000000005</v>
      </c>
      <c r="R31" s="19" t="s">
        <v>39</v>
      </c>
      <c r="S31" s="19">
        <f t="shared" si="6"/>
        <v>0.56000000000000005</v>
      </c>
      <c r="T31" s="20">
        <f t="shared" si="7"/>
        <v>9.760161495000002</v>
      </c>
      <c r="U31" s="21">
        <f t="shared" si="8"/>
        <v>0.91481600000000007</v>
      </c>
      <c r="V31" s="22">
        <f t="shared" si="9"/>
        <v>5.8731187200000008</v>
      </c>
      <c r="W31" s="22">
        <f t="shared" si="10"/>
        <v>3.8870427750000003</v>
      </c>
      <c r="X31" s="18"/>
      <c r="Y31" s="18"/>
      <c r="Z31" s="18"/>
      <c r="AA31" s="18"/>
      <c r="AB31" s="18"/>
      <c r="AC31" s="18"/>
      <c r="AD31" s="18"/>
      <c r="AE31" s="18"/>
      <c r="AF31" s="18"/>
      <c r="AG31" s="23"/>
      <c r="AH31" s="23"/>
    </row>
    <row r="32" spans="1:34" ht="15">
      <c r="A32" s="17" t="s">
        <v>83</v>
      </c>
      <c r="B32" s="19" t="s">
        <v>51</v>
      </c>
      <c r="C32" s="28" t="s">
        <v>84</v>
      </c>
      <c r="D32" s="19" t="s">
        <v>38</v>
      </c>
      <c r="E32" s="18">
        <f t="shared" si="0"/>
        <v>0.85</v>
      </c>
      <c r="F32" s="19" t="s">
        <v>39</v>
      </c>
      <c r="G32" s="18">
        <f t="shared" ref="G32:G35" si="14">IF(F32="Low",0.77,IF(F32="High",0.44,0))</f>
        <v>0.44</v>
      </c>
      <c r="H32" s="19" t="s">
        <v>47</v>
      </c>
      <c r="I32" s="18">
        <f t="shared" si="1"/>
        <v>0.62</v>
      </c>
      <c r="J32" s="19" t="s">
        <v>42</v>
      </c>
      <c r="K32" s="18">
        <f t="shared" si="2"/>
        <v>0.85</v>
      </c>
      <c r="L32" s="19" t="s">
        <v>59</v>
      </c>
      <c r="M32" s="18">
        <f t="shared" si="3"/>
        <v>6.42</v>
      </c>
      <c r="N32" s="19" t="s">
        <v>47</v>
      </c>
      <c r="O32" s="19">
        <f t="shared" si="4"/>
        <v>0.22</v>
      </c>
      <c r="P32" s="19" t="s">
        <v>42</v>
      </c>
      <c r="Q32" s="19">
        <f t="shared" si="5"/>
        <v>0</v>
      </c>
      <c r="R32" s="19" t="s">
        <v>42</v>
      </c>
      <c r="S32" s="19">
        <f t="shared" si="6"/>
        <v>0</v>
      </c>
      <c r="T32" s="20">
        <f t="shared" si="7"/>
        <v>3.03254556</v>
      </c>
      <c r="U32" s="21">
        <f t="shared" si="8"/>
        <v>0.21999999999999997</v>
      </c>
      <c r="V32" s="22">
        <f t="shared" si="9"/>
        <v>1.4123999999999999</v>
      </c>
      <c r="W32" s="22">
        <f t="shared" si="10"/>
        <v>1.6201455599999999</v>
      </c>
      <c r="X32" s="18"/>
      <c r="Y32" s="18"/>
      <c r="Z32" s="18"/>
      <c r="AA32" s="18"/>
      <c r="AB32" s="18"/>
      <c r="AC32" s="18"/>
      <c r="AD32" s="18"/>
      <c r="AE32" s="18"/>
      <c r="AF32" s="18"/>
      <c r="AG32" s="23"/>
      <c r="AH32" s="23"/>
    </row>
    <row r="33" spans="1:34" ht="30">
      <c r="A33" s="17" t="s">
        <v>85</v>
      </c>
      <c r="B33" s="19" t="s">
        <v>51</v>
      </c>
      <c r="C33" s="28" t="s">
        <v>86</v>
      </c>
      <c r="D33" s="19" t="s">
        <v>38</v>
      </c>
      <c r="E33" s="18">
        <f t="shared" si="0"/>
        <v>0.85</v>
      </c>
      <c r="F33" s="19" t="s">
        <v>47</v>
      </c>
      <c r="G33" s="18">
        <f t="shared" si="14"/>
        <v>0.77</v>
      </c>
      <c r="H33" s="19" t="s">
        <v>39</v>
      </c>
      <c r="I33" s="18">
        <f t="shared" si="1"/>
        <v>0.27</v>
      </c>
      <c r="J33" s="19" t="s">
        <v>42</v>
      </c>
      <c r="K33" s="18">
        <f t="shared" si="2"/>
        <v>0.85</v>
      </c>
      <c r="L33" s="19" t="s">
        <v>59</v>
      </c>
      <c r="M33" s="18">
        <f t="shared" si="3"/>
        <v>6.42</v>
      </c>
      <c r="N33" s="19" t="s">
        <v>39</v>
      </c>
      <c r="O33" s="19">
        <f t="shared" si="4"/>
        <v>0.56000000000000005</v>
      </c>
      <c r="P33" s="19" t="s">
        <v>42</v>
      </c>
      <c r="Q33" s="19">
        <f t="shared" si="5"/>
        <v>0</v>
      </c>
      <c r="R33" s="19" t="s">
        <v>42</v>
      </c>
      <c r="S33" s="19">
        <f t="shared" si="6"/>
        <v>0</v>
      </c>
      <c r="T33" s="20">
        <f t="shared" si="7"/>
        <v>4.8299077050000001</v>
      </c>
      <c r="U33" s="21">
        <f t="shared" si="8"/>
        <v>0.56000000000000005</v>
      </c>
      <c r="V33" s="22">
        <f t="shared" si="9"/>
        <v>3.5952000000000002</v>
      </c>
      <c r="W33" s="22">
        <f t="shared" si="10"/>
        <v>1.2347077050000002</v>
      </c>
      <c r="X33" s="18"/>
      <c r="Y33" s="18"/>
      <c r="Z33" s="18"/>
      <c r="AA33" s="18"/>
      <c r="AB33" s="18"/>
      <c r="AC33" s="18"/>
      <c r="AD33" s="18"/>
      <c r="AE33" s="18"/>
      <c r="AF33" s="18"/>
      <c r="AG33" s="23"/>
      <c r="AH33" s="23"/>
    </row>
    <row r="34" spans="1:34" ht="30">
      <c r="A34" s="17" t="s">
        <v>35</v>
      </c>
      <c r="B34" s="19" t="s">
        <v>51</v>
      </c>
      <c r="C34" s="28" t="s">
        <v>87</v>
      </c>
      <c r="D34" s="19" t="s">
        <v>38</v>
      </c>
      <c r="E34" s="18">
        <f t="shared" si="0"/>
        <v>0.85</v>
      </c>
      <c r="F34" s="19" t="s">
        <v>39</v>
      </c>
      <c r="G34" s="18">
        <f t="shared" si="14"/>
        <v>0.44</v>
      </c>
      <c r="H34" s="19" t="s">
        <v>39</v>
      </c>
      <c r="I34" s="18">
        <f t="shared" si="1"/>
        <v>0.27</v>
      </c>
      <c r="J34" s="19" t="s">
        <v>42</v>
      </c>
      <c r="K34" s="18">
        <f t="shared" si="2"/>
        <v>0.85</v>
      </c>
      <c r="L34" s="19" t="s">
        <v>59</v>
      </c>
      <c r="M34" s="18">
        <f t="shared" si="3"/>
        <v>6.42</v>
      </c>
      <c r="N34" s="19" t="s">
        <v>39</v>
      </c>
      <c r="O34" s="19">
        <f t="shared" si="4"/>
        <v>0.56000000000000005</v>
      </c>
      <c r="P34" s="19" t="s">
        <v>42</v>
      </c>
      <c r="Q34" s="19">
        <f t="shared" si="5"/>
        <v>0</v>
      </c>
      <c r="R34" s="19" t="s">
        <v>42</v>
      </c>
      <c r="S34" s="19">
        <f t="shared" si="6"/>
        <v>0</v>
      </c>
      <c r="T34" s="20">
        <f t="shared" si="7"/>
        <v>4.3007472600000005</v>
      </c>
      <c r="U34" s="21">
        <f t="shared" si="8"/>
        <v>0.56000000000000005</v>
      </c>
      <c r="V34" s="22">
        <f t="shared" si="9"/>
        <v>3.5952000000000002</v>
      </c>
      <c r="W34" s="22">
        <f t="shared" si="10"/>
        <v>0.70554726000000001</v>
      </c>
      <c r="X34" s="18"/>
      <c r="Y34" s="18"/>
      <c r="Z34" s="18"/>
      <c r="AA34" s="18"/>
      <c r="AB34" s="18"/>
      <c r="AC34" s="18"/>
      <c r="AD34" s="18"/>
      <c r="AE34" s="18"/>
      <c r="AF34" s="18"/>
      <c r="AG34" s="23"/>
      <c r="AH34" s="23"/>
    </row>
    <row r="35" spans="1:34" ht="15">
      <c r="A35" s="17" t="s">
        <v>85</v>
      </c>
      <c r="B35" s="19" t="s">
        <v>44</v>
      </c>
      <c r="C35" s="28" t="s">
        <v>88</v>
      </c>
      <c r="D35" s="19" t="s">
        <v>38</v>
      </c>
      <c r="E35" s="18">
        <f t="shared" si="0"/>
        <v>0.85</v>
      </c>
      <c r="F35" s="19" t="s">
        <v>47</v>
      </c>
      <c r="G35" s="18">
        <f t="shared" si="14"/>
        <v>0.77</v>
      </c>
      <c r="H35" s="19" t="s">
        <v>42</v>
      </c>
      <c r="I35" s="18">
        <f t="shared" si="1"/>
        <v>0.85</v>
      </c>
      <c r="J35" s="19" t="s">
        <v>42</v>
      </c>
      <c r="K35" s="18">
        <f t="shared" si="2"/>
        <v>0.85</v>
      </c>
      <c r="L35" s="19" t="s">
        <v>59</v>
      </c>
      <c r="M35" s="18">
        <f t="shared" si="3"/>
        <v>6.42</v>
      </c>
      <c r="N35" s="19" t="s">
        <v>39</v>
      </c>
      <c r="O35" s="19">
        <f t="shared" si="4"/>
        <v>0.56000000000000005</v>
      </c>
      <c r="P35" s="19" t="s">
        <v>39</v>
      </c>
      <c r="Q35" s="19">
        <f t="shared" si="5"/>
        <v>0.56000000000000005</v>
      </c>
      <c r="R35" s="19" t="s">
        <v>39</v>
      </c>
      <c r="S35" s="19">
        <f t="shared" si="6"/>
        <v>0.56000000000000005</v>
      </c>
      <c r="T35" s="20">
        <f t="shared" si="7"/>
        <v>9.760161495000002</v>
      </c>
      <c r="U35" s="21">
        <f t="shared" si="8"/>
        <v>0.91481600000000007</v>
      </c>
      <c r="V35" s="22">
        <f t="shared" si="9"/>
        <v>5.8731187200000008</v>
      </c>
      <c r="W35" s="22">
        <f t="shared" si="10"/>
        <v>3.8870427750000003</v>
      </c>
      <c r="X35" s="18"/>
      <c r="Y35" s="18"/>
      <c r="Z35" s="18"/>
      <c r="AA35" s="18"/>
      <c r="AB35" s="18"/>
      <c r="AC35" s="18"/>
      <c r="AD35" s="18"/>
      <c r="AE35" s="18"/>
      <c r="AF35" s="18"/>
      <c r="AG35" s="23"/>
      <c r="AH35" s="23"/>
    </row>
    <row r="36" spans="1:34" ht="16">
      <c r="A36" s="17" t="s">
        <v>68</v>
      </c>
      <c r="B36" s="19" t="s">
        <v>57</v>
      </c>
      <c r="C36" s="27" t="s">
        <v>89</v>
      </c>
      <c r="D36" s="19" t="s">
        <v>38</v>
      </c>
      <c r="E36" s="18">
        <f t="shared" si="0"/>
        <v>0.85</v>
      </c>
      <c r="F36" s="19" t="s">
        <v>47</v>
      </c>
      <c r="G36" s="18">
        <f>IF(F36="High",0.44,IF(F36="Low",0.77,0))</f>
        <v>0.77</v>
      </c>
      <c r="H36" s="19" t="s">
        <v>47</v>
      </c>
      <c r="I36" s="18">
        <f t="shared" si="1"/>
        <v>0.62</v>
      </c>
      <c r="J36" s="19" t="s">
        <v>42</v>
      </c>
      <c r="K36" s="18">
        <f t="shared" si="2"/>
        <v>0.85</v>
      </c>
      <c r="L36" s="19" t="s">
        <v>59</v>
      </c>
      <c r="M36" s="18">
        <f t="shared" si="3"/>
        <v>6.42</v>
      </c>
      <c r="N36" s="19" t="s">
        <v>42</v>
      </c>
      <c r="O36" s="19">
        <f t="shared" si="4"/>
        <v>0</v>
      </c>
      <c r="P36" s="19" t="s">
        <v>42</v>
      </c>
      <c r="Q36" s="19">
        <f t="shared" si="5"/>
        <v>0</v>
      </c>
      <c r="R36" s="19" t="s">
        <v>39</v>
      </c>
      <c r="S36" s="19">
        <f t="shared" si="6"/>
        <v>0.56000000000000005</v>
      </c>
      <c r="T36" s="20">
        <f t="shared" si="7"/>
        <v>6.4304547300000001</v>
      </c>
      <c r="U36" s="21">
        <f t="shared" si="8"/>
        <v>0.56000000000000005</v>
      </c>
      <c r="V36" s="22">
        <f t="shared" si="9"/>
        <v>3.5952000000000002</v>
      </c>
      <c r="W36" s="22">
        <f t="shared" si="10"/>
        <v>2.8352547299999999</v>
      </c>
      <c r="X36" s="18"/>
      <c r="Y36" s="18"/>
      <c r="Z36" s="18"/>
      <c r="AA36" s="18"/>
      <c r="AB36" s="18"/>
      <c r="AC36" s="18"/>
      <c r="AD36" s="18"/>
      <c r="AE36" s="18"/>
      <c r="AF36" s="18"/>
      <c r="AG36" s="23"/>
    </row>
    <row r="37" spans="1:34" ht="16">
      <c r="A37" s="17" t="s">
        <v>90</v>
      </c>
      <c r="B37" s="19" t="s">
        <v>44</v>
      </c>
      <c r="C37" s="27" t="s">
        <v>91</v>
      </c>
      <c r="D37" s="19" t="s">
        <v>38</v>
      </c>
      <c r="E37" s="18">
        <f t="shared" si="0"/>
        <v>0.85</v>
      </c>
      <c r="F37" s="19" t="s">
        <v>47</v>
      </c>
      <c r="G37" s="18">
        <f t="shared" ref="G37:G51" si="15">IF(F37="Low",0.77,IF(F37="High",0.44,0))</f>
        <v>0.77</v>
      </c>
      <c r="H37" s="19" t="s">
        <v>42</v>
      </c>
      <c r="I37" s="18">
        <f t="shared" si="1"/>
        <v>0.85</v>
      </c>
      <c r="J37" s="19" t="s">
        <v>42</v>
      </c>
      <c r="K37" s="18">
        <f t="shared" si="2"/>
        <v>0.85</v>
      </c>
      <c r="L37" s="19" t="s">
        <v>59</v>
      </c>
      <c r="M37" s="18">
        <f t="shared" si="3"/>
        <v>6.42</v>
      </c>
      <c r="N37" s="19" t="s">
        <v>47</v>
      </c>
      <c r="O37" s="19">
        <f t="shared" si="4"/>
        <v>0.22</v>
      </c>
      <c r="P37" s="19" t="s">
        <v>39</v>
      </c>
      <c r="Q37" s="19">
        <f t="shared" si="5"/>
        <v>0.56000000000000005</v>
      </c>
      <c r="R37" s="19" t="s">
        <v>39</v>
      </c>
      <c r="S37" s="19">
        <f t="shared" si="6"/>
        <v>0.56000000000000005</v>
      </c>
      <c r="T37" s="20">
        <f t="shared" si="7"/>
        <v>9.3375714150000011</v>
      </c>
      <c r="U37" s="21">
        <f t="shared" si="8"/>
        <v>0.84899200000000008</v>
      </c>
      <c r="V37" s="22">
        <f t="shared" si="9"/>
        <v>5.4505286400000008</v>
      </c>
      <c r="W37" s="22">
        <f t="shared" si="10"/>
        <v>3.8870427750000003</v>
      </c>
      <c r="X37" s="18"/>
      <c r="Y37" s="18"/>
      <c r="Z37" s="18"/>
      <c r="AA37" s="18"/>
      <c r="AB37" s="18"/>
      <c r="AC37" s="18"/>
      <c r="AD37" s="18"/>
      <c r="AE37" s="18"/>
      <c r="AF37" s="18"/>
      <c r="AG37" s="23"/>
      <c r="AH37" s="23"/>
    </row>
    <row r="38" spans="1:34" ht="16">
      <c r="A38" s="17" t="s">
        <v>68</v>
      </c>
      <c r="B38" s="19" t="s">
        <v>51</v>
      </c>
      <c r="C38" s="27" t="s">
        <v>92</v>
      </c>
      <c r="D38" s="19" t="s">
        <v>38</v>
      </c>
      <c r="E38" s="18">
        <f t="shared" si="0"/>
        <v>0.85</v>
      </c>
      <c r="F38" s="19" t="s">
        <v>39</v>
      </c>
      <c r="G38" s="18">
        <f t="shared" si="15"/>
        <v>0.44</v>
      </c>
      <c r="H38" s="19" t="s">
        <v>42</v>
      </c>
      <c r="I38" s="18">
        <f t="shared" si="1"/>
        <v>0.85</v>
      </c>
      <c r="J38" s="19" t="s">
        <v>40</v>
      </c>
      <c r="K38" s="18">
        <f t="shared" si="2"/>
        <v>0.62</v>
      </c>
      <c r="L38" s="19" t="s">
        <v>59</v>
      </c>
      <c r="M38" s="18">
        <f t="shared" si="3"/>
        <v>6.42</v>
      </c>
      <c r="N38" s="19" t="s">
        <v>47</v>
      </c>
      <c r="O38" s="19">
        <f t="shared" si="4"/>
        <v>0.22</v>
      </c>
      <c r="P38" s="19" t="s">
        <v>42</v>
      </c>
      <c r="Q38" s="19">
        <f t="shared" si="5"/>
        <v>0</v>
      </c>
      <c r="R38" s="19" t="s">
        <v>42</v>
      </c>
      <c r="S38" s="19">
        <f t="shared" si="6"/>
        <v>0</v>
      </c>
      <c r="T38" s="20">
        <f t="shared" si="7"/>
        <v>3.03254556</v>
      </c>
      <c r="U38" s="21">
        <f t="shared" si="8"/>
        <v>0.21999999999999997</v>
      </c>
      <c r="V38" s="22">
        <f t="shared" si="9"/>
        <v>1.4123999999999999</v>
      </c>
      <c r="W38" s="22">
        <f t="shared" si="10"/>
        <v>1.6201455599999999</v>
      </c>
      <c r="X38" s="18"/>
      <c r="Y38" s="18"/>
      <c r="Z38" s="18"/>
      <c r="AA38" s="18"/>
      <c r="AB38" s="18"/>
      <c r="AC38" s="18"/>
      <c r="AD38" s="18"/>
      <c r="AE38" s="18"/>
      <c r="AF38" s="18"/>
      <c r="AG38" s="23"/>
      <c r="AH38" s="23"/>
    </row>
    <row r="39" spans="1:34" ht="16">
      <c r="A39" s="17" t="s">
        <v>93</v>
      </c>
      <c r="B39" s="19" t="s">
        <v>51</v>
      </c>
      <c r="C39" s="27" t="s">
        <v>94</v>
      </c>
      <c r="D39" s="19" t="s">
        <v>38</v>
      </c>
      <c r="E39" s="18">
        <f t="shared" si="0"/>
        <v>0.85</v>
      </c>
      <c r="F39" s="19" t="s">
        <v>47</v>
      </c>
      <c r="G39" s="18">
        <f t="shared" si="15"/>
        <v>0.77</v>
      </c>
      <c r="H39" s="19" t="s">
        <v>42</v>
      </c>
      <c r="I39" s="18">
        <f t="shared" si="1"/>
        <v>0.85</v>
      </c>
      <c r="J39" s="19" t="s">
        <v>42</v>
      </c>
      <c r="K39" s="18">
        <f t="shared" si="2"/>
        <v>0.85</v>
      </c>
      <c r="L39" s="19" t="s">
        <v>59</v>
      </c>
      <c r="M39" s="18">
        <f t="shared" si="3"/>
        <v>6.42</v>
      </c>
      <c r="N39" s="19" t="s">
        <v>39</v>
      </c>
      <c r="O39" s="19">
        <f t="shared" si="4"/>
        <v>0.56000000000000005</v>
      </c>
      <c r="P39" s="19" t="s">
        <v>42</v>
      </c>
      <c r="Q39" s="19">
        <f t="shared" si="5"/>
        <v>0</v>
      </c>
      <c r="R39" s="19" t="s">
        <v>42</v>
      </c>
      <c r="S39" s="19">
        <f t="shared" si="6"/>
        <v>0</v>
      </c>
      <c r="T39" s="20">
        <f t="shared" si="7"/>
        <v>7.4822427750000005</v>
      </c>
      <c r="U39" s="21">
        <f t="shared" si="8"/>
        <v>0.56000000000000005</v>
      </c>
      <c r="V39" s="22">
        <f t="shared" si="9"/>
        <v>3.5952000000000002</v>
      </c>
      <c r="W39" s="22">
        <f t="shared" si="10"/>
        <v>3.8870427750000003</v>
      </c>
      <c r="X39" s="18"/>
      <c r="Y39" s="18"/>
      <c r="Z39" s="18"/>
      <c r="AA39" s="18"/>
      <c r="AB39" s="18"/>
      <c r="AC39" s="18"/>
      <c r="AD39" s="18"/>
      <c r="AE39" s="18"/>
      <c r="AF39" s="18"/>
      <c r="AG39" s="23"/>
      <c r="AH39" s="23"/>
    </row>
    <row r="40" spans="1:34" ht="16">
      <c r="A40" s="17" t="s">
        <v>43</v>
      </c>
      <c r="B40" s="19" t="s">
        <v>44</v>
      </c>
      <c r="C40" s="27" t="s">
        <v>95</v>
      </c>
      <c r="D40" s="19" t="s">
        <v>46</v>
      </c>
      <c r="E40" s="18">
        <f t="shared" si="0"/>
        <v>0.62</v>
      </c>
      <c r="F40" s="19" t="s">
        <v>47</v>
      </c>
      <c r="G40" s="18">
        <f t="shared" si="15"/>
        <v>0.77</v>
      </c>
      <c r="H40" s="19" t="s">
        <v>42</v>
      </c>
      <c r="I40" s="18">
        <f t="shared" si="1"/>
        <v>0.85</v>
      </c>
      <c r="J40" s="19" t="s">
        <v>40</v>
      </c>
      <c r="K40" s="18">
        <f t="shared" si="2"/>
        <v>0.62</v>
      </c>
      <c r="L40" s="19" t="s">
        <v>41</v>
      </c>
      <c r="M40" s="18">
        <f t="shared" si="3"/>
        <v>7.52</v>
      </c>
      <c r="N40" s="19" t="s">
        <v>47</v>
      </c>
      <c r="O40" s="19">
        <f t="shared" si="4"/>
        <v>0.22</v>
      </c>
      <c r="P40" s="19" t="s">
        <v>47</v>
      </c>
      <c r="Q40" s="19">
        <f t="shared" si="5"/>
        <v>0.22</v>
      </c>
      <c r="R40" s="19" t="s">
        <v>42</v>
      </c>
      <c r="S40" s="19">
        <f t="shared" si="6"/>
        <v>0</v>
      </c>
      <c r="T40" s="20">
        <f t="shared" si="7"/>
        <v>5.1784045198243218</v>
      </c>
      <c r="U40" s="21">
        <f t="shared" si="8"/>
        <v>0.39159999999999995</v>
      </c>
      <c r="V40" s="22">
        <f t="shared" si="9"/>
        <v>2.7267508438373347</v>
      </c>
      <c r="W40" s="22">
        <f t="shared" si="10"/>
        <v>2.0680681560000003</v>
      </c>
      <c r="X40" s="18"/>
      <c r="Y40" s="18"/>
      <c r="Z40" s="18"/>
      <c r="AA40" s="18"/>
      <c r="AB40" s="18"/>
      <c r="AC40" s="18"/>
      <c r="AD40" s="18"/>
      <c r="AE40" s="18"/>
      <c r="AF40" s="18"/>
      <c r="AG40" s="23"/>
      <c r="AH40" s="23"/>
    </row>
    <row r="41" spans="1:34" ht="16">
      <c r="A41" s="17" t="s">
        <v>50</v>
      </c>
      <c r="B41" s="19" t="s">
        <v>36</v>
      </c>
      <c r="C41" s="27" t="s">
        <v>96</v>
      </c>
      <c r="D41" s="19" t="s">
        <v>38</v>
      </c>
      <c r="E41" s="18">
        <f t="shared" si="0"/>
        <v>0.85</v>
      </c>
      <c r="F41" s="19" t="s">
        <v>47</v>
      </c>
      <c r="G41" s="18">
        <f t="shared" si="15"/>
        <v>0.77</v>
      </c>
      <c r="H41" s="19" t="s">
        <v>42</v>
      </c>
      <c r="I41" s="18">
        <f t="shared" si="1"/>
        <v>0.85</v>
      </c>
      <c r="J41" s="19" t="s">
        <v>42</v>
      </c>
      <c r="K41" s="18">
        <f t="shared" si="2"/>
        <v>0.85</v>
      </c>
      <c r="L41" s="19" t="s">
        <v>59</v>
      </c>
      <c r="M41" s="18">
        <f t="shared" si="3"/>
        <v>6.42</v>
      </c>
      <c r="N41" s="19" t="s">
        <v>39</v>
      </c>
      <c r="O41" s="19">
        <f t="shared" si="4"/>
        <v>0.56000000000000005</v>
      </c>
      <c r="P41" s="19" t="s">
        <v>39</v>
      </c>
      <c r="Q41" s="19">
        <f t="shared" si="5"/>
        <v>0.56000000000000005</v>
      </c>
      <c r="R41" s="19" t="s">
        <v>42</v>
      </c>
      <c r="S41" s="19">
        <f t="shared" si="6"/>
        <v>0</v>
      </c>
      <c r="T41" s="20">
        <f t="shared" si="7"/>
        <v>9.0641307750000006</v>
      </c>
      <c r="U41" s="21">
        <f t="shared" si="8"/>
        <v>0.80640000000000001</v>
      </c>
      <c r="V41" s="22">
        <f t="shared" si="9"/>
        <v>5.1770880000000004</v>
      </c>
      <c r="W41" s="22">
        <f t="shared" si="10"/>
        <v>3.8870427750000003</v>
      </c>
      <c r="X41" s="18"/>
      <c r="Y41" s="18"/>
      <c r="Z41" s="18"/>
      <c r="AA41" s="18"/>
      <c r="AB41" s="18"/>
      <c r="AC41" s="18"/>
      <c r="AD41" s="18"/>
      <c r="AE41" s="18"/>
      <c r="AF41" s="18"/>
      <c r="AG41" s="23"/>
      <c r="AH41" s="23"/>
    </row>
    <row r="42" spans="1:34" ht="16">
      <c r="A42" s="17" t="s">
        <v>97</v>
      </c>
      <c r="B42" s="19" t="s">
        <v>73</v>
      </c>
      <c r="C42" s="27" t="s">
        <v>98</v>
      </c>
      <c r="D42" s="19" t="s">
        <v>66</v>
      </c>
      <c r="E42" s="18">
        <f t="shared" si="0"/>
        <v>0.55000000000000004</v>
      </c>
      <c r="F42" s="19" t="s">
        <v>47</v>
      </c>
      <c r="G42" s="18">
        <f t="shared" si="15"/>
        <v>0.77</v>
      </c>
      <c r="H42" s="19" t="s">
        <v>39</v>
      </c>
      <c r="I42" s="18">
        <f t="shared" si="1"/>
        <v>0.27</v>
      </c>
      <c r="J42" s="19" t="s">
        <v>42</v>
      </c>
      <c r="K42" s="18">
        <f t="shared" si="2"/>
        <v>0.85</v>
      </c>
      <c r="L42" s="19" t="s">
        <v>59</v>
      </c>
      <c r="M42" s="18">
        <f t="shared" si="3"/>
        <v>6.42</v>
      </c>
      <c r="N42" s="19" t="s">
        <v>47</v>
      </c>
      <c r="O42" s="19">
        <f t="shared" si="4"/>
        <v>0.22</v>
      </c>
      <c r="P42" s="19" t="s">
        <v>39</v>
      </c>
      <c r="Q42" s="19">
        <f t="shared" si="5"/>
        <v>0.56000000000000005</v>
      </c>
      <c r="R42" s="19" t="s">
        <v>47</v>
      </c>
      <c r="S42" s="19">
        <f t="shared" si="6"/>
        <v>0.22</v>
      </c>
      <c r="T42" s="20">
        <f t="shared" si="7"/>
        <v>5.5003201950000005</v>
      </c>
      <c r="U42" s="21">
        <f t="shared" si="8"/>
        <v>0.73230400000000007</v>
      </c>
      <c r="V42" s="22">
        <f t="shared" si="9"/>
        <v>4.7013916800000004</v>
      </c>
      <c r="W42" s="22">
        <f t="shared" si="10"/>
        <v>0.79892851500000017</v>
      </c>
      <c r="X42" s="18"/>
      <c r="Y42" s="18"/>
      <c r="Z42" s="18"/>
      <c r="AA42" s="18"/>
      <c r="AB42" s="18"/>
      <c r="AC42" s="18"/>
      <c r="AD42" s="18"/>
      <c r="AE42" s="18"/>
      <c r="AF42" s="18"/>
      <c r="AG42" s="23"/>
      <c r="AH42" s="23"/>
    </row>
    <row r="43" spans="1:34" ht="16">
      <c r="A43" s="17" t="s">
        <v>43</v>
      </c>
      <c r="B43" s="19" t="s">
        <v>36</v>
      </c>
      <c r="C43" s="27" t="s">
        <v>99</v>
      </c>
      <c r="D43" s="19" t="s">
        <v>46</v>
      </c>
      <c r="E43" s="18">
        <f t="shared" si="0"/>
        <v>0.62</v>
      </c>
      <c r="F43" s="19" t="s">
        <v>39</v>
      </c>
      <c r="G43" s="18">
        <f t="shared" si="15"/>
        <v>0.44</v>
      </c>
      <c r="H43" s="19" t="s">
        <v>42</v>
      </c>
      <c r="I43" s="18">
        <f t="shared" si="1"/>
        <v>0.85</v>
      </c>
      <c r="J43" s="19" t="s">
        <v>40</v>
      </c>
      <c r="K43" s="18">
        <f t="shared" si="2"/>
        <v>0.62</v>
      </c>
      <c r="L43" s="19" t="s">
        <v>41</v>
      </c>
      <c r="M43" s="18">
        <f t="shared" si="3"/>
        <v>7.52</v>
      </c>
      <c r="N43" s="19" t="s">
        <v>39</v>
      </c>
      <c r="O43" s="19">
        <f t="shared" si="4"/>
        <v>0.56000000000000005</v>
      </c>
      <c r="P43" s="19" t="s">
        <v>39</v>
      </c>
      <c r="Q43" s="19">
        <f t="shared" si="5"/>
        <v>0.56000000000000005</v>
      </c>
      <c r="R43" s="19" t="s">
        <v>42</v>
      </c>
      <c r="S43" s="19">
        <f t="shared" si="6"/>
        <v>0</v>
      </c>
      <c r="T43" s="20">
        <f t="shared" si="7"/>
        <v>7.4945349357786872</v>
      </c>
      <c r="U43" s="21">
        <f t="shared" si="8"/>
        <v>0.80640000000000001</v>
      </c>
      <c r="V43" s="22">
        <f t="shared" si="9"/>
        <v>5.7576309677950803</v>
      </c>
      <c r="W43" s="22">
        <f t="shared" si="10"/>
        <v>1.1817532319999999</v>
      </c>
      <c r="X43" s="18"/>
      <c r="Y43" s="18"/>
      <c r="Z43" s="18"/>
      <c r="AA43" s="18"/>
      <c r="AB43" s="18"/>
      <c r="AC43" s="18"/>
      <c r="AD43" s="18"/>
      <c r="AE43" s="18"/>
      <c r="AF43" s="18"/>
      <c r="AG43" s="23"/>
      <c r="AH43" s="23"/>
    </row>
    <row r="44" spans="1:34" ht="16">
      <c r="A44" s="17" t="s">
        <v>43</v>
      </c>
      <c r="B44" s="19" t="s">
        <v>51</v>
      </c>
      <c r="C44" s="27" t="s">
        <v>100</v>
      </c>
      <c r="D44" s="19" t="s">
        <v>38</v>
      </c>
      <c r="E44" s="18">
        <f t="shared" si="0"/>
        <v>0.85</v>
      </c>
      <c r="F44" s="19" t="s">
        <v>47</v>
      </c>
      <c r="G44" s="18">
        <f t="shared" si="15"/>
        <v>0.77</v>
      </c>
      <c r="H44" s="19" t="s">
        <v>42</v>
      </c>
      <c r="I44" s="18">
        <f t="shared" si="1"/>
        <v>0.85</v>
      </c>
      <c r="J44" s="19" t="s">
        <v>40</v>
      </c>
      <c r="K44" s="18">
        <f t="shared" si="2"/>
        <v>0.62</v>
      </c>
      <c r="L44" s="19" t="s">
        <v>41</v>
      </c>
      <c r="M44" s="18">
        <f t="shared" si="3"/>
        <v>7.52</v>
      </c>
      <c r="N44" s="19" t="s">
        <v>39</v>
      </c>
      <c r="O44" s="19">
        <f t="shared" si="4"/>
        <v>0.56000000000000005</v>
      </c>
      <c r="P44" s="19" t="s">
        <v>39</v>
      </c>
      <c r="Q44" s="19">
        <f t="shared" si="5"/>
        <v>0.56000000000000005</v>
      </c>
      <c r="R44" s="19" t="s">
        <v>42</v>
      </c>
      <c r="S44" s="19">
        <f t="shared" si="6"/>
        <v>0</v>
      </c>
      <c r="T44" s="20">
        <f t="shared" si="7"/>
        <v>9.2803165536186878</v>
      </c>
      <c r="U44" s="21">
        <f t="shared" si="8"/>
        <v>0.80640000000000001</v>
      </c>
      <c r="V44" s="22">
        <f t="shared" si="9"/>
        <v>5.7576309677950803</v>
      </c>
      <c r="W44" s="22">
        <f t="shared" si="10"/>
        <v>2.8352547300000004</v>
      </c>
      <c r="X44" s="18"/>
      <c r="Y44" s="18"/>
      <c r="Z44" s="18"/>
      <c r="AA44" s="18"/>
      <c r="AB44" s="18"/>
      <c r="AC44" s="18"/>
      <c r="AD44" s="18"/>
      <c r="AE44" s="18"/>
      <c r="AF44" s="18"/>
      <c r="AG44" s="23"/>
      <c r="AH44" s="23"/>
    </row>
    <row r="45" spans="1:34" ht="16">
      <c r="A45" s="17" t="s">
        <v>53</v>
      </c>
      <c r="B45" s="19" t="s">
        <v>63</v>
      </c>
      <c r="C45" s="27" t="s">
        <v>101</v>
      </c>
      <c r="D45" s="19" t="s">
        <v>38</v>
      </c>
      <c r="E45" s="18">
        <f t="shared" si="0"/>
        <v>0.85</v>
      </c>
      <c r="F45" s="19" t="s">
        <v>47</v>
      </c>
      <c r="G45" s="18">
        <f t="shared" si="15"/>
        <v>0.77</v>
      </c>
      <c r="H45" s="19" t="s">
        <v>47</v>
      </c>
      <c r="I45" s="18">
        <f t="shared" si="1"/>
        <v>0.62</v>
      </c>
      <c r="J45" s="19" t="s">
        <v>42</v>
      </c>
      <c r="K45" s="18">
        <f t="shared" si="2"/>
        <v>0.85</v>
      </c>
      <c r="L45" s="19" t="s">
        <v>59</v>
      </c>
      <c r="M45" s="18">
        <f t="shared" si="3"/>
        <v>6.42</v>
      </c>
      <c r="N45" s="19" t="s">
        <v>47</v>
      </c>
      <c r="O45" s="19">
        <f t="shared" si="4"/>
        <v>0.22</v>
      </c>
      <c r="P45" s="19" t="s">
        <v>39</v>
      </c>
      <c r="Q45" s="19">
        <f t="shared" si="5"/>
        <v>0.56000000000000005</v>
      </c>
      <c r="R45" s="19" t="s">
        <v>42</v>
      </c>
      <c r="S45" s="19">
        <f t="shared" si="6"/>
        <v>0</v>
      </c>
      <c r="T45" s="20">
        <f t="shared" si="7"/>
        <v>7.0519107300000003</v>
      </c>
      <c r="U45" s="21">
        <f t="shared" si="8"/>
        <v>0.65680000000000005</v>
      </c>
      <c r="V45" s="22">
        <f t="shared" si="9"/>
        <v>4.2166560000000004</v>
      </c>
      <c r="W45" s="22">
        <f t="shared" si="10"/>
        <v>2.8352547299999999</v>
      </c>
      <c r="X45" s="18"/>
      <c r="Y45" s="18"/>
      <c r="Z45" s="18"/>
      <c r="AA45" s="18"/>
      <c r="AB45" s="18"/>
      <c r="AC45" s="18"/>
      <c r="AD45" s="18"/>
      <c r="AE45" s="18"/>
      <c r="AF45" s="18"/>
      <c r="AG45" s="23"/>
      <c r="AH45" s="23"/>
    </row>
    <row r="46" spans="1:34" ht="15">
      <c r="A46" s="17" t="s">
        <v>85</v>
      </c>
      <c r="B46" s="19" t="s">
        <v>36</v>
      </c>
      <c r="C46" s="19" t="s">
        <v>102</v>
      </c>
      <c r="D46" s="19" t="s">
        <v>38</v>
      </c>
      <c r="E46" s="18">
        <f t="shared" si="0"/>
        <v>0.85</v>
      </c>
      <c r="F46" s="19" t="s">
        <v>47</v>
      </c>
      <c r="G46" s="18">
        <f t="shared" si="15"/>
        <v>0.77</v>
      </c>
      <c r="H46" s="19" t="s">
        <v>42</v>
      </c>
      <c r="I46" s="18">
        <f t="shared" si="1"/>
        <v>0.85</v>
      </c>
      <c r="J46" s="19" t="s">
        <v>42</v>
      </c>
      <c r="K46" s="18">
        <f t="shared" si="2"/>
        <v>0.85</v>
      </c>
      <c r="L46" s="19" t="s">
        <v>41</v>
      </c>
      <c r="M46" s="18">
        <f t="shared" si="3"/>
        <v>7.52</v>
      </c>
      <c r="N46" s="19" t="s">
        <v>39</v>
      </c>
      <c r="O46" s="19">
        <f t="shared" si="4"/>
        <v>0.56000000000000005</v>
      </c>
      <c r="P46" s="19" t="s">
        <v>39</v>
      </c>
      <c r="Q46" s="19">
        <f t="shared" si="5"/>
        <v>0.56000000000000005</v>
      </c>
      <c r="R46" s="19" t="s">
        <v>39</v>
      </c>
      <c r="S46" s="19">
        <f t="shared" si="6"/>
        <v>0.56000000000000005</v>
      </c>
      <c r="T46" s="20">
        <f t="shared" si="7"/>
        <v>10</v>
      </c>
      <c r="U46" s="21">
        <f t="shared" si="8"/>
        <v>0.91481600000000007</v>
      </c>
      <c r="V46" s="22">
        <f t="shared" si="9"/>
        <v>6.0477304915445185</v>
      </c>
      <c r="W46" s="22">
        <f t="shared" si="10"/>
        <v>3.8870427750000003</v>
      </c>
      <c r="X46" s="18"/>
      <c r="Y46" s="18"/>
      <c r="Z46" s="18"/>
      <c r="AA46" s="18"/>
      <c r="AB46" s="18"/>
      <c r="AC46" s="18"/>
      <c r="AD46" s="18"/>
      <c r="AE46" s="18"/>
      <c r="AF46" s="18"/>
      <c r="AG46" s="23"/>
      <c r="AH46" s="23"/>
    </row>
    <row r="47" spans="1:34" ht="31">
      <c r="A47" s="17" t="s">
        <v>83</v>
      </c>
      <c r="B47" s="19" t="s">
        <v>36</v>
      </c>
      <c r="C47" s="27" t="s">
        <v>103</v>
      </c>
      <c r="D47" s="19" t="s">
        <v>66</v>
      </c>
      <c r="E47" s="18">
        <f t="shared" si="0"/>
        <v>0.55000000000000004</v>
      </c>
      <c r="F47" s="19" t="s">
        <v>47</v>
      </c>
      <c r="G47" s="18">
        <f t="shared" si="15"/>
        <v>0.77</v>
      </c>
      <c r="H47" s="19" t="s">
        <v>39</v>
      </c>
      <c r="I47" s="18">
        <f t="shared" si="1"/>
        <v>0.5</v>
      </c>
      <c r="J47" s="19" t="s">
        <v>42</v>
      </c>
      <c r="K47" s="18">
        <f t="shared" si="2"/>
        <v>0.85</v>
      </c>
      <c r="L47" s="19" t="s">
        <v>41</v>
      </c>
      <c r="M47" s="18">
        <f t="shared" si="3"/>
        <v>7.52</v>
      </c>
      <c r="N47" s="19" t="s">
        <v>39</v>
      </c>
      <c r="O47" s="19">
        <f t="shared" si="4"/>
        <v>0.56000000000000005</v>
      </c>
      <c r="P47" s="19" t="s">
        <v>39</v>
      </c>
      <c r="Q47" s="19">
        <f t="shared" si="5"/>
        <v>0.56000000000000005</v>
      </c>
      <c r="R47" s="19" t="s">
        <v>39</v>
      </c>
      <c r="S47" s="19">
        <f t="shared" si="6"/>
        <v>0.56000000000000005</v>
      </c>
      <c r="T47" s="20">
        <f t="shared" si="7"/>
        <v>8.1294059608680804</v>
      </c>
      <c r="U47" s="21">
        <f t="shared" si="8"/>
        <v>0.91481600000000007</v>
      </c>
      <c r="V47" s="22">
        <f t="shared" si="9"/>
        <v>6.0477304915445185</v>
      </c>
      <c r="W47" s="22">
        <f t="shared" si="10"/>
        <v>1.4794972500000001</v>
      </c>
      <c r="X47" s="18"/>
      <c r="Y47" s="18"/>
      <c r="Z47" s="18"/>
      <c r="AA47" s="18"/>
      <c r="AB47" s="18"/>
      <c r="AC47" s="18"/>
      <c r="AD47" s="18"/>
      <c r="AE47" s="18"/>
      <c r="AF47" s="18"/>
      <c r="AG47" s="23"/>
      <c r="AH47" s="23"/>
    </row>
    <row r="48" spans="1:34" ht="15">
      <c r="A48" s="17" t="s">
        <v>104</v>
      </c>
      <c r="B48" s="19" t="s">
        <v>51</v>
      </c>
      <c r="C48" s="19" t="s">
        <v>105</v>
      </c>
      <c r="D48" s="19" t="s">
        <v>38</v>
      </c>
      <c r="E48" s="18">
        <f t="shared" si="0"/>
        <v>0.85</v>
      </c>
      <c r="F48" s="19" t="s">
        <v>47</v>
      </c>
      <c r="G48" s="18">
        <f t="shared" si="15"/>
        <v>0.77</v>
      </c>
      <c r="H48" s="19" t="s">
        <v>47</v>
      </c>
      <c r="I48" s="18">
        <f t="shared" si="1"/>
        <v>0.62</v>
      </c>
      <c r="J48" s="19" t="s">
        <v>42</v>
      </c>
      <c r="K48" s="18">
        <f t="shared" si="2"/>
        <v>0.85</v>
      </c>
      <c r="L48" s="19" t="s">
        <v>59</v>
      </c>
      <c r="M48" s="18">
        <f t="shared" si="3"/>
        <v>6.42</v>
      </c>
      <c r="N48" s="19" t="s">
        <v>39</v>
      </c>
      <c r="O48" s="19">
        <f t="shared" si="4"/>
        <v>0.56000000000000005</v>
      </c>
      <c r="P48" s="19" t="s">
        <v>39</v>
      </c>
      <c r="Q48" s="19">
        <f t="shared" si="5"/>
        <v>0.56000000000000005</v>
      </c>
      <c r="R48" s="19" t="s">
        <v>42</v>
      </c>
      <c r="S48" s="19">
        <f t="shared" si="6"/>
        <v>0</v>
      </c>
      <c r="T48" s="20">
        <f t="shared" si="7"/>
        <v>8.0123427300000003</v>
      </c>
      <c r="U48" s="21">
        <f t="shared" si="8"/>
        <v>0.80640000000000001</v>
      </c>
      <c r="V48" s="22">
        <f t="shared" si="9"/>
        <v>5.1770880000000004</v>
      </c>
      <c r="W48" s="22">
        <f t="shared" si="10"/>
        <v>2.8352547299999999</v>
      </c>
      <c r="X48" s="18"/>
      <c r="Y48" s="18"/>
      <c r="Z48" s="18"/>
      <c r="AA48" s="18"/>
      <c r="AB48" s="18"/>
      <c r="AC48" s="18"/>
      <c r="AD48" s="18"/>
      <c r="AE48" s="18"/>
      <c r="AF48" s="18"/>
      <c r="AG48" s="23"/>
      <c r="AH48" s="23"/>
    </row>
    <row r="49" spans="1:34" ht="15">
      <c r="A49" s="17" t="s">
        <v>48</v>
      </c>
      <c r="B49" s="19" t="s">
        <v>51</v>
      </c>
      <c r="C49" s="19" t="s">
        <v>106</v>
      </c>
      <c r="D49" s="19" t="s">
        <v>38</v>
      </c>
      <c r="E49" s="18">
        <f t="shared" si="0"/>
        <v>0.85</v>
      </c>
      <c r="F49" s="19" t="s">
        <v>47</v>
      </c>
      <c r="G49" s="18">
        <f t="shared" si="15"/>
        <v>0.77</v>
      </c>
      <c r="H49" s="19" t="s">
        <v>42</v>
      </c>
      <c r="I49" s="18">
        <f t="shared" si="1"/>
        <v>0.85</v>
      </c>
      <c r="J49" s="19" t="s">
        <v>42</v>
      </c>
      <c r="K49" s="18">
        <f t="shared" si="2"/>
        <v>0.85</v>
      </c>
      <c r="L49" s="19" t="s">
        <v>59</v>
      </c>
      <c r="M49" s="18">
        <f t="shared" si="3"/>
        <v>6.42</v>
      </c>
      <c r="N49" s="19" t="s">
        <v>39</v>
      </c>
      <c r="O49" s="19">
        <f t="shared" si="4"/>
        <v>0.56000000000000005</v>
      </c>
      <c r="P49" s="19" t="s">
        <v>39</v>
      </c>
      <c r="Q49" s="19">
        <f t="shared" si="5"/>
        <v>0.56000000000000005</v>
      </c>
      <c r="R49" s="19" t="s">
        <v>39</v>
      </c>
      <c r="S49" s="19">
        <f t="shared" si="6"/>
        <v>0.56000000000000005</v>
      </c>
      <c r="T49" s="20">
        <f t="shared" si="7"/>
        <v>9.760161495000002</v>
      </c>
      <c r="U49" s="21">
        <f t="shared" si="8"/>
        <v>0.91481600000000007</v>
      </c>
      <c r="V49" s="22">
        <f t="shared" si="9"/>
        <v>5.8731187200000008</v>
      </c>
      <c r="W49" s="22">
        <f t="shared" si="10"/>
        <v>3.8870427750000003</v>
      </c>
      <c r="X49" s="18"/>
      <c r="Y49" s="18"/>
      <c r="Z49" s="18"/>
      <c r="AA49" s="18"/>
      <c r="AB49" s="18"/>
      <c r="AC49" s="18"/>
      <c r="AD49" s="18"/>
      <c r="AE49" s="18"/>
      <c r="AF49" s="18"/>
      <c r="AG49" s="23"/>
      <c r="AH49" s="23"/>
    </row>
    <row r="50" spans="1:34" ht="31">
      <c r="A50" s="17" t="s">
        <v>43</v>
      </c>
      <c r="B50" s="19" t="s">
        <v>36</v>
      </c>
      <c r="C50" s="27" t="s">
        <v>107</v>
      </c>
      <c r="D50" s="19" t="s">
        <v>38</v>
      </c>
      <c r="E50" s="18">
        <f t="shared" si="0"/>
        <v>0.85</v>
      </c>
      <c r="F50" s="19" t="s">
        <v>47</v>
      </c>
      <c r="G50" s="18">
        <f t="shared" si="15"/>
        <v>0.77</v>
      </c>
      <c r="H50" s="19" t="s">
        <v>42</v>
      </c>
      <c r="I50" s="18">
        <f t="shared" si="1"/>
        <v>0.85</v>
      </c>
      <c r="J50" s="19" t="s">
        <v>42</v>
      </c>
      <c r="K50" s="18">
        <f t="shared" si="2"/>
        <v>0.85</v>
      </c>
      <c r="L50" s="19" t="s">
        <v>59</v>
      </c>
      <c r="M50" s="18">
        <f t="shared" si="3"/>
        <v>6.42</v>
      </c>
      <c r="N50" s="19" t="s">
        <v>39</v>
      </c>
      <c r="O50" s="19">
        <f t="shared" si="4"/>
        <v>0.56000000000000005</v>
      </c>
      <c r="P50" s="19" t="s">
        <v>39</v>
      </c>
      <c r="Q50" s="19">
        <f t="shared" si="5"/>
        <v>0.56000000000000005</v>
      </c>
      <c r="R50" s="19" t="s">
        <v>42</v>
      </c>
      <c r="S50" s="19">
        <f t="shared" si="6"/>
        <v>0</v>
      </c>
      <c r="T50" s="20">
        <f t="shared" si="7"/>
        <v>9.0641307750000006</v>
      </c>
      <c r="U50" s="21">
        <f t="shared" si="8"/>
        <v>0.80640000000000001</v>
      </c>
      <c r="V50" s="22">
        <f t="shared" si="9"/>
        <v>5.1770880000000004</v>
      </c>
      <c r="W50" s="22">
        <f t="shared" si="10"/>
        <v>3.8870427750000003</v>
      </c>
      <c r="X50" s="18"/>
      <c r="Y50" s="18"/>
      <c r="Z50" s="18"/>
      <c r="AA50" s="18"/>
      <c r="AB50" s="18"/>
      <c r="AC50" s="18"/>
      <c r="AD50" s="18"/>
      <c r="AE50" s="18"/>
      <c r="AF50" s="18"/>
      <c r="AG50" s="23"/>
      <c r="AH50" s="23"/>
    </row>
    <row r="51" spans="1:34" ht="16">
      <c r="A51" s="17" t="s">
        <v>35</v>
      </c>
      <c r="B51" s="19" t="s">
        <v>36</v>
      </c>
      <c r="C51" s="27" t="s">
        <v>108</v>
      </c>
      <c r="D51" s="19" t="s">
        <v>38</v>
      </c>
      <c r="E51" s="18">
        <f t="shared" si="0"/>
        <v>0.85</v>
      </c>
      <c r="F51" s="19" t="s">
        <v>47</v>
      </c>
      <c r="G51" s="18">
        <f t="shared" si="15"/>
        <v>0.77</v>
      </c>
      <c r="H51" s="19" t="s">
        <v>39</v>
      </c>
      <c r="I51" s="18">
        <f t="shared" si="1"/>
        <v>0.27</v>
      </c>
      <c r="J51" s="19" t="s">
        <v>42</v>
      </c>
      <c r="K51" s="18">
        <f t="shared" si="2"/>
        <v>0.85</v>
      </c>
      <c r="L51" s="19" t="s">
        <v>59</v>
      </c>
      <c r="M51" s="18">
        <f t="shared" si="3"/>
        <v>6.42</v>
      </c>
      <c r="N51" s="19" t="s">
        <v>39</v>
      </c>
      <c r="O51" s="19">
        <f t="shared" si="4"/>
        <v>0.56000000000000005</v>
      </c>
      <c r="P51" s="19" t="s">
        <v>39</v>
      </c>
      <c r="Q51" s="19">
        <f t="shared" si="5"/>
        <v>0.56000000000000005</v>
      </c>
      <c r="R51" s="19" t="s">
        <v>42</v>
      </c>
      <c r="S51" s="19">
        <f t="shared" si="6"/>
        <v>0</v>
      </c>
      <c r="T51" s="20">
        <f t="shared" si="7"/>
        <v>6.4117957050000003</v>
      </c>
      <c r="U51" s="21">
        <f t="shared" si="8"/>
        <v>0.80640000000000001</v>
      </c>
      <c r="V51" s="22">
        <f t="shared" si="9"/>
        <v>5.1770880000000004</v>
      </c>
      <c r="W51" s="22">
        <f t="shared" si="10"/>
        <v>1.2347077050000002</v>
      </c>
      <c r="X51" s="18"/>
      <c r="Y51" s="18"/>
      <c r="Z51" s="18"/>
      <c r="AA51" s="18"/>
      <c r="AB51" s="18"/>
      <c r="AC51" s="18"/>
      <c r="AD51" s="18"/>
      <c r="AE51" s="18"/>
      <c r="AF51" s="18"/>
      <c r="AG51" s="23"/>
      <c r="AH51" s="23"/>
    </row>
    <row r="52" spans="1:34" ht="13">
      <c r="C52" s="32"/>
      <c r="T52" s="33">
        <f>SUM(T5:T51)</f>
        <v>331.49626233311869</v>
      </c>
    </row>
    <row r="53" spans="1:34" ht="13">
      <c r="C53" s="32"/>
    </row>
    <row r="54" spans="1:34" ht="13">
      <c r="C54" s="32"/>
    </row>
    <row r="55" spans="1:34" ht="13">
      <c r="C55" s="32"/>
    </row>
    <row r="56" spans="1:34" ht="13">
      <c r="C56" s="32"/>
    </row>
    <row r="57" spans="1:34" ht="13">
      <c r="C57" s="32"/>
    </row>
    <row r="58" spans="1:34" ht="13">
      <c r="C58" s="32"/>
    </row>
    <row r="59" spans="1:34" ht="13">
      <c r="C59" s="32"/>
    </row>
    <row r="60" spans="1:34" ht="13">
      <c r="C60" s="32"/>
    </row>
    <row r="61" spans="1:34" ht="13">
      <c r="C61" s="32"/>
    </row>
    <row r="62" spans="1:34" ht="13">
      <c r="C62" s="32"/>
    </row>
    <row r="63" spans="1:34" ht="13">
      <c r="C63" s="32"/>
    </row>
    <row r="64" spans="1:34" ht="13">
      <c r="C64" s="32"/>
    </row>
    <row r="65" spans="3:3" ht="13">
      <c r="C65" s="32"/>
    </row>
    <row r="66" spans="3:3" ht="13">
      <c r="C66" s="32"/>
    </row>
    <row r="67" spans="3:3" ht="13">
      <c r="C67" s="32"/>
    </row>
    <row r="68" spans="3:3" ht="13">
      <c r="C68" s="32"/>
    </row>
    <row r="69" spans="3:3" ht="13">
      <c r="C69" s="32"/>
    </row>
    <row r="70" spans="3:3" ht="13">
      <c r="C70" s="32"/>
    </row>
    <row r="71" spans="3:3" ht="13">
      <c r="C71" s="32"/>
    </row>
    <row r="72" spans="3:3" ht="13">
      <c r="C72" s="32"/>
    </row>
    <row r="73" spans="3:3" ht="13">
      <c r="C73" s="32"/>
    </row>
    <row r="74" spans="3:3" ht="13">
      <c r="C74" s="32"/>
    </row>
    <row r="75" spans="3:3" ht="13">
      <c r="C75" s="32"/>
    </row>
    <row r="76" spans="3:3" ht="13">
      <c r="C76" s="32"/>
    </row>
    <row r="77" spans="3:3" ht="13">
      <c r="C77" s="32"/>
    </row>
    <row r="78" spans="3:3" ht="13">
      <c r="C78" s="32"/>
    </row>
    <row r="79" spans="3:3" ht="13">
      <c r="C79" s="32"/>
    </row>
    <row r="80" spans="3:3" ht="13">
      <c r="C80" s="32"/>
    </row>
    <row r="81" spans="3:3" ht="13">
      <c r="C81" s="32"/>
    </row>
    <row r="82" spans="3:3" ht="13">
      <c r="C82" s="32"/>
    </row>
    <row r="83" spans="3:3" ht="13">
      <c r="C83" s="32"/>
    </row>
    <row r="84" spans="3:3" ht="13">
      <c r="C84" s="32"/>
    </row>
    <row r="85" spans="3:3" ht="13">
      <c r="C85" s="32"/>
    </row>
    <row r="86" spans="3:3" ht="13">
      <c r="C86" s="32"/>
    </row>
    <row r="87" spans="3:3" ht="13">
      <c r="C87" s="32"/>
    </row>
    <row r="88" spans="3:3" ht="13">
      <c r="C88" s="32"/>
    </row>
    <row r="89" spans="3:3" ht="13">
      <c r="C89" s="32"/>
    </row>
    <row r="90" spans="3:3" ht="13">
      <c r="C90" s="32"/>
    </row>
    <row r="91" spans="3:3" ht="13">
      <c r="C91" s="32"/>
    </row>
    <row r="92" spans="3:3" ht="13">
      <c r="C92" s="32"/>
    </row>
    <row r="93" spans="3:3" ht="13">
      <c r="C93" s="32"/>
    </row>
    <row r="94" spans="3:3" ht="13">
      <c r="C94" s="32"/>
    </row>
    <row r="95" spans="3:3" ht="13">
      <c r="C95" s="32"/>
    </row>
    <row r="96" spans="3:3" ht="13">
      <c r="C96" s="32"/>
    </row>
    <row r="97" spans="3:3" ht="13">
      <c r="C97" s="32"/>
    </row>
    <row r="98" spans="3:3" ht="13">
      <c r="C98" s="32"/>
    </row>
    <row r="99" spans="3:3" ht="13">
      <c r="C99" s="32"/>
    </row>
    <row r="100" spans="3:3" ht="13">
      <c r="C100" s="32"/>
    </row>
    <row r="101" spans="3:3" ht="13">
      <c r="C101" s="32"/>
    </row>
    <row r="102" spans="3:3" ht="13">
      <c r="C102" s="32"/>
    </row>
    <row r="103" spans="3:3" ht="13">
      <c r="C103" s="32"/>
    </row>
    <row r="104" spans="3:3" ht="13">
      <c r="C104" s="32"/>
    </row>
    <row r="105" spans="3:3" ht="13">
      <c r="C105" s="32"/>
    </row>
    <row r="106" spans="3:3" ht="13">
      <c r="C106" s="32"/>
    </row>
    <row r="107" spans="3:3" ht="13">
      <c r="C107" s="32"/>
    </row>
    <row r="108" spans="3:3" ht="13">
      <c r="C108" s="32"/>
    </row>
    <row r="109" spans="3:3" ht="13">
      <c r="C109" s="32"/>
    </row>
    <row r="110" spans="3:3" ht="13">
      <c r="C110" s="32"/>
    </row>
    <row r="111" spans="3:3" ht="13">
      <c r="C111" s="32"/>
    </row>
    <row r="112" spans="3:3" ht="13">
      <c r="C112" s="32"/>
    </row>
    <row r="113" spans="3:3" ht="13">
      <c r="C113" s="32"/>
    </row>
    <row r="114" spans="3:3" ht="13">
      <c r="C114" s="32"/>
    </row>
    <row r="115" spans="3:3" ht="13">
      <c r="C115" s="32"/>
    </row>
    <row r="116" spans="3:3" ht="13">
      <c r="C116" s="32"/>
    </row>
    <row r="117" spans="3:3" ht="13">
      <c r="C117" s="32"/>
    </row>
    <row r="118" spans="3:3" ht="13">
      <c r="C118" s="32"/>
    </row>
    <row r="119" spans="3:3" ht="13">
      <c r="C119" s="32"/>
    </row>
    <row r="120" spans="3:3" ht="13">
      <c r="C120" s="32"/>
    </row>
    <row r="121" spans="3:3" ht="13">
      <c r="C121" s="32"/>
    </row>
    <row r="122" spans="3:3" ht="13">
      <c r="C122" s="32"/>
    </row>
    <row r="123" spans="3:3" ht="13">
      <c r="C123" s="32"/>
    </row>
    <row r="124" spans="3:3" ht="13">
      <c r="C124" s="32"/>
    </row>
    <row r="125" spans="3:3" ht="13">
      <c r="C125" s="32"/>
    </row>
    <row r="126" spans="3:3" ht="13">
      <c r="C126" s="32"/>
    </row>
    <row r="127" spans="3:3" ht="13">
      <c r="C127" s="32"/>
    </row>
    <row r="128" spans="3:3" ht="13">
      <c r="C128" s="32"/>
    </row>
    <row r="129" spans="3:3" ht="13">
      <c r="C129" s="32"/>
    </row>
    <row r="130" spans="3:3" ht="13">
      <c r="C130" s="32"/>
    </row>
    <row r="131" spans="3:3" ht="13">
      <c r="C131" s="32"/>
    </row>
    <row r="132" spans="3:3" ht="13">
      <c r="C132" s="32"/>
    </row>
    <row r="133" spans="3:3" ht="13">
      <c r="C133" s="32"/>
    </row>
    <row r="134" spans="3:3" ht="13">
      <c r="C134" s="32"/>
    </row>
    <row r="135" spans="3:3" ht="13">
      <c r="C135" s="32"/>
    </row>
    <row r="136" spans="3:3" ht="13">
      <c r="C136" s="32"/>
    </row>
    <row r="137" spans="3:3" ht="13">
      <c r="C137" s="32"/>
    </row>
    <row r="138" spans="3:3" ht="13">
      <c r="C138" s="32"/>
    </row>
    <row r="139" spans="3:3" ht="13">
      <c r="C139" s="32"/>
    </row>
    <row r="140" spans="3:3" ht="13">
      <c r="C140" s="32"/>
    </row>
    <row r="141" spans="3:3" ht="13">
      <c r="C141" s="32"/>
    </row>
    <row r="142" spans="3:3" ht="13">
      <c r="C142" s="32"/>
    </row>
    <row r="143" spans="3:3" ht="13">
      <c r="C143" s="32"/>
    </row>
    <row r="144" spans="3:3" ht="13">
      <c r="C144" s="32"/>
    </row>
    <row r="145" spans="3:3" ht="13">
      <c r="C145" s="32"/>
    </row>
    <row r="146" spans="3:3" ht="13">
      <c r="C146" s="32"/>
    </row>
    <row r="147" spans="3:3" ht="13">
      <c r="C147" s="32"/>
    </row>
    <row r="148" spans="3:3" ht="13">
      <c r="C148" s="32"/>
    </row>
    <row r="149" spans="3:3" ht="13">
      <c r="C149" s="32"/>
    </row>
    <row r="150" spans="3:3" ht="13">
      <c r="C150" s="32"/>
    </row>
    <row r="151" spans="3:3" ht="13">
      <c r="C151" s="32"/>
    </row>
    <row r="152" spans="3:3" ht="13">
      <c r="C152" s="32"/>
    </row>
    <row r="153" spans="3:3" ht="13">
      <c r="C153" s="32"/>
    </row>
    <row r="154" spans="3:3" ht="13">
      <c r="C154" s="32"/>
    </row>
    <row r="155" spans="3:3" ht="13">
      <c r="C155" s="32"/>
    </row>
    <row r="156" spans="3:3" ht="13">
      <c r="C156" s="32"/>
    </row>
    <row r="157" spans="3:3" ht="13">
      <c r="C157" s="32"/>
    </row>
    <row r="158" spans="3:3" ht="13">
      <c r="C158" s="32"/>
    </row>
    <row r="159" spans="3:3" ht="13">
      <c r="C159" s="32"/>
    </row>
    <row r="160" spans="3:3" ht="13">
      <c r="C160" s="32"/>
    </row>
    <row r="161" spans="3:3" ht="13">
      <c r="C161" s="32"/>
    </row>
    <row r="162" spans="3:3" ht="13">
      <c r="C162" s="32"/>
    </row>
    <row r="163" spans="3:3" ht="13">
      <c r="C163" s="32"/>
    </row>
    <row r="164" spans="3:3" ht="13">
      <c r="C164" s="32"/>
    </row>
    <row r="165" spans="3:3" ht="13">
      <c r="C165" s="32"/>
    </row>
    <row r="166" spans="3:3" ht="13">
      <c r="C166" s="32"/>
    </row>
    <row r="167" spans="3:3" ht="13">
      <c r="C167" s="32"/>
    </row>
    <row r="168" spans="3:3" ht="13">
      <c r="C168" s="32"/>
    </row>
    <row r="169" spans="3:3" ht="13">
      <c r="C169" s="32"/>
    </row>
    <row r="170" spans="3:3" ht="13">
      <c r="C170" s="32"/>
    </row>
    <row r="171" spans="3:3" ht="13">
      <c r="C171" s="32"/>
    </row>
    <row r="172" spans="3:3" ht="13">
      <c r="C172" s="32"/>
    </row>
    <row r="173" spans="3:3" ht="13">
      <c r="C173" s="32"/>
    </row>
    <row r="174" spans="3:3" ht="13">
      <c r="C174" s="32"/>
    </row>
    <row r="175" spans="3:3" ht="13">
      <c r="C175" s="32"/>
    </row>
    <row r="176" spans="3:3" ht="13">
      <c r="C176" s="32"/>
    </row>
    <row r="177" spans="3:3" ht="13">
      <c r="C177" s="32"/>
    </row>
    <row r="178" spans="3:3" ht="13">
      <c r="C178" s="32"/>
    </row>
    <row r="179" spans="3:3" ht="13">
      <c r="C179" s="32"/>
    </row>
    <row r="180" spans="3:3" ht="13">
      <c r="C180" s="32"/>
    </row>
    <row r="181" spans="3:3" ht="13">
      <c r="C181" s="32"/>
    </row>
    <row r="182" spans="3:3" ht="13">
      <c r="C182" s="32"/>
    </row>
    <row r="183" spans="3:3" ht="13">
      <c r="C183" s="32"/>
    </row>
    <row r="184" spans="3:3" ht="13">
      <c r="C184" s="32"/>
    </row>
    <row r="185" spans="3:3" ht="13">
      <c r="C185" s="32"/>
    </row>
    <row r="186" spans="3:3" ht="13">
      <c r="C186" s="32"/>
    </row>
    <row r="187" spans="3:3" ht="13">
      <c r="C187" s="32"/>
    </row>
    <row r="188" spans="3:3" ht="13">
      <c r="C188" s="32"/>
    </row>
    <row r="189" spans="3:3" ht="13">
      <c r="C189" s="32"/>
    </row>
    <row r="190" spans="3:3" ht="13">
      <c r="C190" s="32"/>
    </row>
    <row r="191" spans="3:3" ht="13">
      <c r="C191" s="32"/>
    </row>
    <row r="192" spans="3:3" ht="13">
      <c r="C192" s="32"/>
    </row>
    <row r="193" spans="3:3" ht="13">
      <c r="C193" s="32"/>
    </row>
    <row r="194" spans="3:3" ht="13">
      <c r="C194" s="32"/>
    </row>
    <row r="195" spans="3:3" ht="13">
      <c r="C195" s="32"/>
    </row>
    <row r="196" spans="3:3" ht="13">
      <c r="C196" s="32"/>
    </row>
    <row r="197" spans="3:3" ht="13">
      <c r="C197" s="32"/>
    </row>
    <row r="198" spans="3:3" ht="13">
      <c r="C198" s="32"/>
    </row>
    <row r="199" spans="3:3" ht="13">
      <c r="C199" s="32"/>
    </row>
    <row r="200" spans="3:3" ht="13">
      <c r="C200" s="32"/>
    </row>
    <row r="201" spans="3:3" ht="13">
      <c r="C201" s="32"/>
    </row>
    <row r="202" spans="3:3" ht="13">
      <c r="C202" s="32"/>
    </row>
    <row r="203" spans="3:3" ht="13">
      <c r="C203" s="32"/>
    </row>
    <row r="204" spans="3:3" ht="13">
      <c r="C204" s="32"/>
    </row>
    <row r="205" spans="3:3" ht="13">
      <c r="C205" s="32"/>
    </row>
    <row r="206" spans="3:3" ht="13">
      <c r="C206" s="32"/>
    </row>
    <row r="207" spans="3:3" ht="13">
      <c r="C207" s="32"/>
    </row>
    <row r="208" spans="3:3" ht="13">
      <c r="C208" s="32"/>
    </row>
    <row r="209" spans="3:3" ht="13">
      <c r="C209" s="32"/>
    </row>
    <row r="210" spans="3:3" ht="13">
      <c r="C210" s="32"/>
    </row>
    <row r="211" spans="3:3" ht="13">
      <c r="C211" s="32"/>
    </row>
    <row r="212" spans="3:3" ht="13">
      <c r="C212" s="32"/>
    </row>
    <row r="213" spans="3:3" ht="13">
      <c r="C213" s="32"/>
    </row>
    <row r="214" spans="3:3" ht="13">
      <c r="C214" s="32"/>
    </row>
    <row r="215" spans="3:3" ht="13">
      <c r="C215" s="32"/>
    </row>
    <row r="216" spans="3:3" ht="13">
      <c r="C216" s="32"/>
    </row>
    <row r="217" spans="3:3" ht="13">
      <c r="C217" s="32"/>
    </row>
    <row r="218" spans="3:3" ht="13">
      <c r="C218" s="32"/>
    </row>
    <row r="219" spans="3:3" ht="13">
      <c r="C219" s="32"/>
    </row>
    <row r="220" spans="3:3" ht="13">
      <c r="C220" s="32"/>
    </row>
    <row r="221" spans="3:3" ht="13">
      <c r="C221" s="32"/>
    </row>
    <row r="222" spans="3:3" ht="13">
      <c r="C222" s="32"/>
    </row>
    <row r="223" spans="3:3" ht="13">
      <c r="C223" s="32"/>
    </row>
    <row r="224" spans="3:3" ht="13">
      <c r="C224" s="32"/>
    </row>
    <row r="225" spans="3:3" ht="13">
      <c r="C225" s="32"/>
    </row>
    <row r="226" spans="3:3" ht="13">
      <c r="C226" s="32"/>
    </row>
    <row r="227" spans="3:3" ht="13">
      <c r="C227" s="32"/>
    </row>
    <row r="228" spans="3:3" ht="13">
      <c r="C228" s="32"/>
    </row>
    <row r="229" spans="3:3" ht="13">
      <c r="C229" s="32"/>
    </row>
    <row r="230" spans="3:3" ht="13">
      <c r="C230" s="32"/>
    </row>
    <row r="231" spans="3:3" ht="13">
      <c r="C231" s="32"/>
    </row>
    <row r="232" spans="3:3" ht="13">
      <c r="C232" s="32"/>
    </row>
    <row r="233" spans="3:3" ht="13">
      <c r="C233" s="32"/>
    </row>
    <row r="234" spans="3:3" ht="13">
      <c r="C234" s="32"/>
    </row>
    <row r="235" spans="3:3" ht="13">
      <c r="C235" s="32"/>
    </row>
    <row r="236" spans="3:3" ht="13">
      <c r="C236" s="32"/>
    </row>
    <row r="237" spans="3:3" ht="13">
      <c r="C237" s="32"/>
    </row>
    <row r="238" spans="3:3" ht="13">
      <c r="C238" s="32"/>
    </row>
    <row r="239" spans="3:3" ht="13">
      <c r="C239" s="32"/>
    </row>
    <row r="240" spans="3:3" ht="13">
      <c r="C240" s="32"/>
    </row>
    <row r="241" spans="3:3" ht="13">
      <c r="C241" s="32"/>
    </row>
    <row r="242" spans="3:3" ht="13">
      <c r="C242" s="32"/>
    </row>
    <row r="243" spans="3:3" ht="13">
      <c r="C243" s="32"/>
    </row>
    <row r="244" spans="3:3" ht="13">
      <c r="C244" s="32"/>
    </row>
    <row r="245" spans="3:3" ht="13">
      <c r="C245" s="32"/>
    </row>
    <row r="246" spans="3:3" ht="13">
      <c r="C246" s="32"/>
    </row>
    <row r="247" spans="3:3" ht="13">
      <c r="C247" s="32"/>
    </row>
    <row r="248" spans="3:3" ht="13">
      <c r="C248" s="32"/>
    </row>
    <row r="249" spans="3:3" ht="13">
      <c r="C249" s="32"/>
    </row>
    <row r="250" spans="3:3" ht="13">
      <c r="C250" s="32"/>
    </row>
    <row r="251" spans="3:3" ht="13">
      <c r="C251" s="32"/>
    </row>
    <row r="252" spans="3:3" ht="13">
      <c r="C252" s="32"/>
    </row>
    <row r="253" spans="3:3" ht="13">
      <c r="C253" s="32"/>
    </row>
    <row r="254" spans="3:3" ht="13">
      <c r="C254" s="32"/>
    </row>
    <row r="255" spans="3:3" ht="13">
      <c r="C255" s="32"/>
    </row>
    <row r="256" spans="3:3" ht="13">
      <c r="C256" s="32"/>
    </row>
    <row r="257" spans="3:3" ht="13">
      <c r="C257" s="32"/>
    </row>
    <row r="258" spans="3:3" ht="13">
      <c r="C258" s="32"/>
    </row>
    <row r="259" spans="3:3" ht="13">
      <c r="C259" s="32"/>
    </row>
    <row r="260" spans="3:3" ht="13">
      <c r="C260" s="32"/>
    </row>
    <row r="261" spans="3:3" ht="13">
      <c r="C261" s="32"/>
    </row>
    <row r="262" spans="3:3" ht="13">
      <c r="C262" s="32"/>
    </row>
    <row r="263" spans="3:3" ht="13">
      <c r="C263" s="32"/>
    </row>
    <row r="264" spans="3:3" ht="13">
      <c r="C264" s="32"/>
    </row>
    <row r="265" spans="3:3" ht="13">
      <c r="C265" s="32"/>
    </row>
    <row r="266" spans="3:3" ht="13">
      <c r="C266" s="32"/>
    </row>
    <row r="267" spans="3:3" ht="13">
      <c r="C267" s="32"/>
    </row>
    <row r="268" spans="3:3" ht="13">
      <c r="C268" s="32"/>
    </row>
    <row r="269" spans="3:3" ht="13">
      <c r="C269" s="32"/>
    </row>
    <row r="270" spans="3:3" ht="13">
      <c r="C270" s="32"/>
    </row>
    <row r="271" spans="3:3" ht="13">
      <c r="C271" s="32"/>
    </row>
    <row r="272" spans="3:3" ht="13">
      <c r="C272" s="32"/>
    </row>
    <row r="273" spans="3:3" ht="13">
      <c r="C273" s="32"/>
    </row>
    <row r="274" spans="3:3" ht="13">
      <c r="C274" s="32"/>
    </row>
    <row r="275" spans="3:3" ht="13">
      <c r="C275" s="32"/>
    </row>
    <row r="276" spans="3:3" ht="13">
      <c r="C276" s="32"/>
    </row>
    <row r="277" spans="3:3" ht="13">
      <c r="C277" s="32"/>
    </row>
    <row r="278" spans="3:3" ht="13">
      <c r="C278" s="32"/>
    </row>
    <row r="279" spans="3:3" ht="13">
      <c r="C279" s="32"/>
    </row>
    <row r="280" spans="3:3" ht="13">
      <c r="C280" s="32"/>
    </row>
    <row r="281" spans="3:3" ht="13">
      <c r="C281" s="32"/>
    </row>
    <row r="282" spans="3:3" ht="13">
      <c r="C282" s="32"/>
    </row>
    <row r="283" spans="3:3" ht="13">
      <c r="C283" s="32"/>
    </row>
    <row r="284" spans="3:3" ht="13">
      <c r="C284" s="32"/>
    </row>
    <row r="285" spans="3:3" ht="13">
      <c r="C285" s="32"/>
    </row>
    <row r="286" spans="3:3" ht="13">
      <c r="C286" s="32"/>
    </row>
    <row r="287" spans="3:3" ht="13">
      <c r="C287" s="32"/>
    </row>
    <row r="288" spans="3:3" ht="13">
      <c r="C288" s="32"/>
    </row>
    <row r="289" spans="3:3" ht="13">
      <c r="C289" s="32"/>
    </row>
    <row r="290" spans="3:3" ht="13">
      <c r="C290" s="32"/>
    </row>
    <row r="291" spans="3:3" ht="13">
      <c r="C291" s="32"/>
    </row>
    <row r="292" spans="3:3" ht="13">
      <c r="C292" s="32"/>
    </row>
    <row r="293" spans="3:3" ht="13">
      <c r="C293" s="32"/>
    </row>
    <row r="294" spans="3:3" ht="13">
      <c r="C294" s="32"/>
    </row>
    <row r="295" spans="3:3" ht="13">
      <c r="C295" s="32"/>
    </row>
    <row r="296" spans="3:3" ht="13">
      <c r="C296" s="32"/>
    </row>
    <row r="297" spans="3:3" ht="13">
      <c r="C297" s="32"/>
    </row>
    <row r="298" spans="3:3" ht="13">
      <c r="C298" s="32"/>
    </row>
    <row r="299" spans="3:3" ht="13">
      <c r="C299" s="32"/>
    </row>
    <row r="300" spans="3:3" ht="13">
      <c r="C300" s="32"/>
    </row>
    <row r="301" spans="3:3" ht="13">
      <c r="C301" s="32"/>
    </row>
    <row r="302" spans="3:3" ht="13">
      <c r="C302" s="32"/>
    </row>
    <row r="303" spans="3:3" ht="13">
      <c r="C303" s="32"/>
    </row>
    <row r="304" spans="3:3" ht="13">
      <c r="C304" s="32"/>
    </row>
    <row r="305" spans="3:3" ht="13">
      <c r="C305" s="32"/>
    </row>
    <row r="306" spans="3:3" ht="13">
      <c r="C306" s="32"/>
    </row>
    <row r="307" spans="3:3" ht="13">
      <c r="C307" s="32"/>
    </row>
    <row r="308" spans="3:3" ht="13">
      <c r="C308" s="32"/>
    </row>
    <row r="309" spans="3:3" ht="13">
      <c r="C309" s="32"/>
    </row>
    <row r="310" spans="3:3" ht="13">
      <c r="C310" s="32"/>
    </row>
    <row r="311" spans="3:3" ht="13">
      <c r="C311" s="32"/>
    </row>
    <row r="312" spans="3:3" ht="13">
      <c r="C312" s="32"/>
    </row>
    <row r="313" spans="3:3" ht="13">
      <c r="C313" s="32"/>
    </row>
    <row r="314" spans="3:3" ht="13">
      <c r="C314" s="32"/>
    </row>
    <row r="315" spans="3:3" ht="13">
      <c r="C315" s="32"/>
    </row>
    <row r="316" spans="3:3" ht="13">
      <c r="C316" s="32"/>
    </row>
    <row r="317" spans="3:3" ht="13">
      <c r="C317" s="32"/>
    </row>
    <row r="318" spans="3:3" ht="13">
      <c r="C318" s="32"/>
    </row>
    <row r="319" spans="3:3" ht="13">
      <c r="C319" s="32"/>
    </row>
    <row r="320" spans="3:3" ht="13">
      <c r="C320" s="32"/>
    </row>
    <row r="321" spans="3:3" ht="13">
      <c r="C321" s="32"/>
    </row>
    <row r="322" spans="3:3" ht="13">
      <c r="C322" s="32"/>
    </row>
    <row r="323" spans="3:3" ht="13">
      <c r="C323" s="32"/>
    </row>
    <row r="324" spans="3:3" ht="13">
      <c r="C324" s="32"/>
    </row>
    <row r="325" spans="3:3" ht="13">
      <c r="C325" s="32"/>
    </row>
    <row r="326" spans="3:3" ht="13">
      <c r="C326" s="32"/>
    </row>
    <row r="327" spans="3:3" ht="13">
      <c r="C327" s="32"/>
    </row>
    <row r="328" spans="3:3" ht="13">
      <c r="C328" s="32"/>
    </row>
    <row r="329" spans="3:3" ht="13">
      <c r="C329" s="32"/>
    </row>
    <row r="330" spans="3:3" ht="13">
      <c r="C330" s="32"/>
    </row>
    <row r="331" spans="3:3" ht="13">
      <c r="C331" s="32"/>
    </row>
    <row r="332" spans="3:3" ht="13">
      <c r="C332" s="32"/>
    </row>
    <row r="333" spans="3:3" ht="13">
      <c r="C333" s="32"/>
    </row>
    <row r="334" spans="3:3" ht="13">
      <c r="C334" s="32"/>
    </row>
    <row r="335" spans="3:3" ht="13">
      <c r="C335" s="32"/>
    </row>
    <row r="336" spans="3:3" ht="13">
      <c r="C336" s="32"/>
    </row>
    <row r="337" spans="3:3" ht="13">
      <c r="C337" s="32"/>
    </row>
    <row r="338" spans="3:3" ht="13">
      <c r="C338" s="32"/>
    </row>
    <row r="339" spans="3:3" ht="13">
      <c r="C339" s="32"/>
    </row>
    <row r="340" spans="3:3" ht="13">
      <c r="C340" s="32"/>
    </row>
    <row r="341" spans="3:3" ht="13">
      <c r="C341" s="32"/>
    </row>
    <row r="342" spans="3:3" ht="13">
      <c r="C342" s="32"/>
    </row>
    <row r="343" spans="3:3" ht="13">
      <c r="C343" s="32"/>
    </row>
    <row r="344" spans="3:3" ht="13">
      <c r="C344" s="32"/>
    </row>
    <row r="345" spans="3:3" ht="13">
      <c r="C345" s="32"/>
    </row>
    <row r="346" spans="3:3" ht="13">
      <c r="C346" s="32"/>
    </row>
    <row r="347" spans="3:3" ht="13">
      <c r="C347" s="32"/>
    </row>
    <row r="348" spans="3:3" ht="13">
      <c r="C348" s="32"/>
    </row>
    <row r="349" spans="3:3" ht="13">
      <c r="C349" s="32"/>
    </row>
    <row r="350" spans="3:3" ht="13">
      <c r="C350" s="32"/>
    </row>
    <row r="351" spans="3:3" ht="13">
      <c r="C351" s="32"/>
    </row>
    <row r="352" spans="3:3" ht="13">
      <c r="C352" s="32"/>
    </row>
    <row r="353" spans="3:3" ht="13">
      <c r="C353" s="32"/>
    </row>
    <row r="354" spans="3:3" ht="13">
      <c r="C354" s="32"/>
    </row>
    <row r="355" spans="3:3" ht="13">
      <c r="C355" s="32"/>
    </row>
    <row r="356" spans="3:3" ht="13">
      <c r="C356" s="32"/>
    </row>
    <row r="357" spans="3:3" ht="13">
      <c r="C357" s="32"/>
    </row>
    <row r="358" spans="3:3" ht="13">
      <c r="C358" s="32"/>
    </row>
    <row r="359" spans="3:3" ht="13">
      <c r="C359" s="32"/>
    </row>
    <row r="360" spans="3:3" ht="13">
      <c r="C360" s="32"/>
    </row>
    <row r="361" spans="3:3" ht="13">
      <c r="C361" s="32"/>
    </row>
    <row r="362" spans="3:3" ht="13">
      <c r="C362" s="32"/>
    </row>
    <row r="363" spans="3:3" ht="13">
      <c r="C363" s="32"/>
    </row>
    <row r="364" spans="3:3" ht="13">
      <c r="C364" s="32"/>
    </row>
    <row r="365" spans="3:3" ht="13">
      <c r="C365" s="32"/>
    </row>
    <row r="366" spans="3:3" ht="13">
      <c r="C366" s="32"/>
    </row>
    <row r="367" spans="3:3" ht="13">
      <c r="C367" s="32"/>
    </row>
    <row r="368" spans="3:3" ht="13">
      <c r="C368" s="32"/>
    </row>
    <row r="369" spans="3:3" ht="13">
      <c r="C369" s="32"/>
    </row>
    <row r="370" spans="3:3" ht="13">
      <c r="C370" s="32"/>
    </row>
    <row r="371" spans="3:3" ht="13">
      <c r="C371" s="32"/>
    </row>
    <row r="372" spans="3:3" ht="13">
      <c r="C372" s="32"/>
    </row>
    <row r="373" spans="3:3" ht="13">
      <c r="C373" s="32"/>
    </row>
    <row r="374" spans="3:3" ht="13">
      <c r="C374" s="32"/>
    </row>
    <row r="375" spans="3:3" ht="13">
      <c r="C375" s="32"/>
    </row>
    <row r="376" spans="3:3" ht="13">
      <c r="C376" s="32"/>
    </row>
    <row r="377" spans="3:3" ht="13">
      <c r="C377" s="32"/>
    </row>
    <row r="378" spans="3:3" ht="13">
      <c r="C378" s="32"/>
    </row>
    <row r="379" spans="3:3" ht="13">
      <c r="C379" s="32"/>
    </row>
    <row r="380" spans="3:3" ht="13">
      <c r="C380" s="32"/>
    </row>
    <row r="381" spans="3:3" ht="13">
      <c r="C381" s="32"/>
    </row>
    <row r="382" spans="3:3" ht="13">
      <c r="C382" s="32"/>
    </row>
    <row r="383" spans="3:3" ht="13">
      <c r="C383" s="32"/>
    </row>
    <row r="384" spans="3:3" ht="13">
      <c r="C384" s="32"/>
    </row>
    <row r="385" spans="3:3" ht="13">
      <c r="C385" s="32"/>
    </row>
    <row r="386" spans="3:3" ht="13">
      <c r="C386" s="32"/>
    </row>
    <row r="387" spans="3:3" ht="13">
      <c r="C387" s="32"/>
    </row>
    <row r="388" spans="3:3" ht="13">
      <c r="C388" s="32"/>
    </row>
    <row r="389" spans="3:3" ht="13">
      <c r="C389" s="32"/>
    </row>
    <row r="390" spans="3:3" ht="13">
      <c r="C390" s="32"/>
    </row>
    <row r="391" spans="3:3" ht="13">
      <c r="C391" s="32"/>
    </row>
    <row r="392" spans="3:3" ht="13">
      <c r="C392" s="32"/>
    </row>
    <row r="393" spans="3:3" ht="13">
      <c r="C393" s="32"/>
    </row>
    <row r="394" spans="3:3" ht="13">
      <c r="C394" s="32"/>
    </row>
    <row r="395" spans="3:3" ht="13">
      <c r="C395" s="32"/>
    </row>
    <row r="396" spans="3:3" ht="13">
      <c r="C396" s="32"/>
    </row>
    <row r="397" spans="3:3" ht="13">
      <c r="C397" s="32"/>
    </row>
    <row r="398" spans="3:3" ht="13">
      <c r="C398" s="32"/>
    </row>
    <row r="399" spans="3:3" ht="13">
      <c r="C399" s="32"/>
    </row>
    <row r="400" spans="3:3" ht="13">
      <c r="C400" s="32"/>
    </row>
    <row r="401" spans="3:3" ht="13">
      <c r="C401" s="32"/>
    </row>
    <row r="402" spans="3:3" ht="13">
      <c r="C402" s="32"/>
    </row>
    <row r="403" spans="3:3" ht="13">
      <c r="C403" s="32"/>
    </row>
    <row r="404" spans="3:3" ht="13">
      <c r="C404" s="32"/>
    </row>
    <row r="405" spans="3:3" ht="13">
      <c r="C405" s="32"/>
    </row>
    <row r="406" spans="3:3" ht="13">
      <c r="C406" s="32"/>
    </row>
    <row r="407" spans="3:3" ht="13">
      <c r="C407" s="32"/>
    </row>
    <row r="408" spans="3:3" ht="13">
      <c r="C408" s="32"/>
    </row>
    <row r="409" spans="3:3" ht="13">
      <c r="C409" s="32"/>
    </row>
    <row r="410" spans="3:3" ht="13">
      <c r="C410" s="32"/>
    </row>
    <row r="411" spans="3:3" ht="13">
      <c r="C411" s="32"/>
    </row>
    <row r="412" spans="3:3" ht="13">
      <c r="C412" s="32"/>
    </row>
    <row r="413" spans="3:3" ht="13">
      <c r="C413" s="32"/>
    </row>
    <row r="414" spans="3:3" ht="13">
      <c r="C414" s="32"/>
    </row>
    <row r="415" spans="3:3" ht="13">
      <c r="C415" s="32"/>
    </row>
    <row r="416" spans="3:3" ht="13">
      <c r="C416" s="32"/>
    </row>
    <row r="417" spans="3:3" ht="13">
      <c r="C417" s="32"/>
    </row>
    <row r="418" spans="3:3" ht="13">
      <c r="C418" s="32"/>
    </row>
    <row r="419" spans="3:3" ht="13">
      <c r="C419" s="32"/>
    </row>
    <row r="420" spans="3:3" ht="13">
      <c r="C420" s="32"/>
    </row>
    <row r="421" spans="3:3" ht="13">
      <c r="C421" s="32"/>
    </row>
    <row r="422" spans="3:3" ht="13">
      <c r="C422" s="32"/>
    </row>
    <row r="423" spans="3:3" ht="13">
      <c r="C423" s="32"/>
    </row>
    <row r="424" spans="3:3" ht="13">
      <c r="C424" s="32"/>
    </row>
    <row r="425" spans="3:3" ht="13">
      <c r="C425" s="32"/>
    </row>
    <row r="426" spans="3:3" ht="13">
      <c r="C426" s="32"/>
    </row>
    <row r="427" spans="3:3" ht="13">
      <c r="C427" s="32"/>
    </row>
    <row r="428" spans="3:3" ht="13">
      <c r="C428" s="32"/>
    </row>
    <row r="429" spans="3:3" ht="13">
      <c r="C429" s="32"/>
    </row>
    <row r="430" spans="3:3" ht="13">
      <c r="C430" s="32"/>
    </row>
    <row r="431" spans="3:3" ht="13">
      <c r="C431" s="32"/>
    </row>
    <row r="432" spans="3:3" ht="13">
      <c r="C432" s="32"/>
    </row>
    <row r="433" spans="3:3" ht="13">
      <c r="C433" s="32"/>
    </row>
    <row r="434" spans="3:3" ht="13">
      <c r="C434" s="32"/>
    </row>
    <row r="435" spans="3:3" ht="13">
      <c r="C435" s="32"/>
    </row>
    <row r="436" spans="3:3" ht="13">
      <c r="C436" s="32"/>
    </row>
    <row r="437" spans="3:3" ht="13">
      <c r="C437" s="32"/>
    </row>
    <row r="438" spans="3:3" ht="13">
      <c r="C438" s="32"/>
    </row>
    <row r="439" spans="3:3" ht="13">
      <c r="C439" s="32"/>
    </row>
    <row r="440" spans="3:3" ht="13">
      <c r="C440" s="32"/>
    </row>
    <row r="441" spans="3:3" ht="13">
      <c r="C441" s="32"/>
    </row>
    <row r="442" spans="3:3" ht="13">
      <c r="C442" s="32"/>
    </row>
    <row r="443" spans="3:3" ht="13">
      <c r="C443" s="32"/>
    </row>
    <row r="444" spans="3:3" ht="13">
      <c r="C444" s="32"/>
    </row>
    <row r="445" spans="3:3" ht="13">
      <c r="C445" s="32"/>
    </row>
    <row r="446" spans="3:3" ht="13">
      <c r="C446" s="32"/>
    </row>
    <row r="447" spans="3:3" ht="13">
      <c r="C447" s="32"/>
    </row>
    <row r="448" spans="3:3" ht="13">
      <c r="C448" s="32"/>
    </row>
    <row r="449" spans="3:3" ht="13">
      <c r="C449" s="32"/>
    </row>
    <row r="450" spans="3:3" ht="13">
      <c r="C450" s="32"/>
    </row>
    <row r="451" spans="3:3" ht="13">
      <c r="C451" s="32"/>
    </row>
    <row r="452" spans="3:3" ht="13">
      <c r="C452" s="32"/>
    </row>
    <row r="453" spans="3:3" ht="13">
      <c r="C453" s="32"/>
    </row>
    <row r="454" spans="3:3" ht="13">
      <c r="C454" s="32"/>
    </row>
    <row r="455" spans="3:3" ht="13">
      <c r="C455" s="32"/>
    </row>
    <row r="456" spans="3:3" ht="13">
      <c r="C456" s="32"/>
    </row>
    <row r="457" spans="3:3" ht="13">
      <c r="C457" s="32"/>
    </row>
    <row r="458" spans="3:3" ht="13">
      <c r="C458" s="32"/>
    </row>
    <row r="459" spans="3:3" ht="13">
      <c r="C459" s="32"/>
    </row>
    <row r="460" spans="3:3" ht="13">
      <c r="C460" s="32"/>
    </row>
    <row r="461" spans="3:3" ht="13">
      <c r="C461" s="32"/>
    </row>
    <row r="462" spans="3:3" ht="13">
      <c r="C462" s="32"/>
    </row>
    <row r="463" spans="3:3" ht="13">
      <c r="C463" s="32"/>
    </row>
    <row r="464" spans="3:3" ht="13">
      <c r="C464" s="32"/>
    </row>
    <row r="465" spans="3:3" ht="13">
      <c r="C465" s="32"/>
    </row>
    <row r="466" spans="3:3" ht="13">
      <c r="C466" s="32"/>
    </row>
    <row r="467" spans="3:3" ht="13">
      <c r="C467" s="32"/>
    </row>
    <row r="468" spans="3:3" ht="13">
      <c r="C468" s="32"/>
    </row>
    <row r="469" spans="3:3" ht="13">
      <c r="C469" s="32"/>
    </row>
    <row r="470" spans="3:3" ht="13">
      <c r="C470" s="32"/>
    </row>
    <row r="471" spans="3:3" ht="13">
      <c r="C471" s="32"/>
    </row>
    <row r="472" spans="3:3" ht="13">
      <c r="C472" s="32"/>
    </row>
    <row r="473" spans="3:3" ht="13">
      <c r="C473" s="32"/>
    </row>
    <row r="474" spans="3:3" ht="13">
      <c r="C474" s="32"/>
    </row>
    <row r="475" spans="3:3" ht="13">
      <c r="C475" s="32"/>
    </row>
    <row r="476" spans="3:3" ht="13">
      <c r="C476" s="32"/>
    </row>
    <row r="477" spans="3:3" ht="13">
      <c r="C477" s="32"/>
    </row>
    <row r="478" spans="3:3" ht="13">
      <c r="C478" s="32"/>
    </row>
    <row r="479" spans="3:3" ht="13">
      <c r="C479" s="32"/>
    </row>
    <row r="480" spans="3:3" ht="13">
      <c r="C480" s="32"/>
    </row>
    <row r="481" spans="3:3" ht="13">
      <c r="C481" s="32"/>
    </row>
    <row r="482" spans="3:3" ht="13">
      <c r="C482" s="32"/>
    </row>
    <row r="483" spans="3:3" ht="13">
      <c r="C483" s="32"/>
    </row>
    <row r="484" spans="3:3" ht="13">
      <c r="C484" s="32"/>
    </row>
    <row r="485" spans="3:3" ht="13">
      <c r="C485" s="32"/>
    </row>
    <row r="486" spans="3:3" ht="13">
      <c r="C486" s="32"/>
    </row>
    <row r="487" spans="3:3" ht="13">
      <c r="C487" s="32"/>
    </row>
    <row r="488" spans="3:3" ht="13">
      <c r="C488" s="32"/>
    </row>
    <row r="489" spans="3:3" ht="13">
      <c r="C489" s="32"/>
    </row>
    <row r="490" spans="3:3" ht="13">
      <c r="C490" s="32"/>
    </row>
    <row r="491" spans="3:3" ht="13">
      <c r="C491" s="32"/>
    </row>
    <row r="492" spans="3:3" ht="13">
      <c r="C492" s="32"/>
    </row>
    <row r="493" spans="3:3" ht="13">
      <c r="C493" s="32"/>
    </row>
    <row r="494" spans="3:3" ht="13">
      <c r="C494" s="32"/>
    </row>
    <row r="495" spans="3:3" ht="13">
      <c r="C495" s="32"/>
    </row>
    <row r="496" spans="3:3" ht="13">
      <c r="C496" s="32"/>
    </row>
    <row r="497" spans="3:3" ht="13">
      <c r="C497" s="32"/>
    </row>
    <row r="498" spans="3:3" ht="13">
      <c r="C498" s="32"/>
    </row>
    <row r="499" spans="3:3" ht="13">
      <c r="C499" s="32"/>
    </row>
    <row r="500" spans="3:3" ht="13">
      <c r="C500" s="32"/>
    </row>
    <row r="501" spans="3:3" ht="13">
      <c r="C501" s="32"/>
    </row>
    <row r="502" spans="3:3" ht="13">
      <c r="C502" s="32"/>
    </row>
    <row r="503" spans="3:3" ht="13">
      <c r="C503" s="32"/>
    </row>
    <row r="504" spans="3:3" ht="13">
      <c r="C504" s="32"/>
    </row>
    <row r="505" spans="3:3" ht="13">
      <c r="C505" s="32"/>
    </row>
    <row r="506" spans="3:3" ht="13">
      <c r="C506" s="32"/>
    </row>
    <row r="507" spans="3:3" ht="13">
      <c r="C507" s="32"/>
    </row>
    <row r="508" spans="3:3" ht="13">
      <c r="C508" s="32"/>
    </row>
    <row r="509" spans="3:3" ht="13">
      <c r="C509" s="32"/>
    </row>
    <row r="510" spans="3:3" ht="13">
      <c r="C510" s="32"/>
    </row>
    <row r="511" spans="3:3" ht="13">
      <c r="C511" s="32"/>
    </row>
    <row r="512" spans="3:3" ht="13">
      <c r="C512" s="32"/>
    </row>
    <row r="513" spans="3:3" ht="13">
      <c r="C513" s="32"/>
    </row>
    <row r="514" spans="3:3" ht="13">
      <c r="C514" s="32"/>
    </row>
    <row r="515" spans="3:3" ht="13">
      <c r="C515" s="32"/>
    </row>
    <row r="516" spans="3:3" ht="13">
      <c r="C516" s="32"/>
    </row>
    <row r="517" spans="3:3" ht="13">
      <c r="C517" s="32"/>
    </row>
    <row r="518" spans="3:3" ht="13">
      <c r="C518" s="32"/>
    </row>
    <row r="519" spans="3:3" ht="13">
      <c r="C519" s="32"/>
    </row>
    <row r="520" spans="3:3" ht="13">
      <c r="C520" s="32"/>
    </row>
    <row r="521" spans="3:3" ht="13">
      <c r="C521" s="32"/>
    </row>
    <row r="522" spans="3:3" ht="13">
      <c r="C522" s="32"/>
    </row>
    <row r="523" spans="3:3" ht="13">
      <c r="C523" s="32"/>
    </row>
    <row r="524" spans="3:3" ht="13">
      <c r="C524" s="32"/>
    </row>
    <row r="525" spans="3:3" ht="13">
      <c r="C525" s="32"/>
    </row>
    <row r="526" spans="3:3" ht="13">
      <c r="C526" s="32"/>
    </row>
    <row r="527" spans="3:3" ht="13">
      <c r="C527" s="32"/>
    </row>
    <row r="528" spans="3:3" ht="13">
      <c r="C528" s="32"/>
    </row>
    <row r="529" spans="3:3" ht="13">
      <c r="C529" s="32"/>
    </row>
    <row r="530" spans="3:3" ht="13">
      <c r="C530" s="32"/>
    </row>
    <row r="531" spans="3:3" ht="13">
      <c r="C531" s="32"/>
    </row>
    <row r="532" spans="3:3" ht="13">
      <c r="C532" s="32"/>
    </row>
    <row r="533" spans="3:3" ht="13">
      <c r="C533" s="32"/>
    </row>
    <row r="534" spans="3:3" ht="13">
      <c r="C534" s="32"/>
    </row>
    <row r="535" spans="3:3" ht="13">
      <c r="C535" s="32"/>
    </row>
    <row r="536" spans="3:3" ht="13">
      <c r="C536" s="32"/>
    </row>
    <row r="537" spans="3:3" ht="13">
      <c r="C537" s="32"/>
    </row>
    <row r="538" spans="3:3" ht="13">
      <c r="C538" s="32"/>
    </row>
    <row r="539" spans="3:3" ht="13">
      <c r="C539" s="32"/>
    </row>
    <row r="540" spans="3:3" ht="13">
      <c r="C540" s="32"/>
    </row>
    <row r="541" spans="3:3" ht="13">
      <c r="C541" s="32"/>
    </row>
    <row r="542" spans="3:3" ht="13">
      <c r="C542" s="32"/>
    </row>
    <row r="543" spans="3:3" ht="13">
      <c r="C543" s="32"/>
    </row>
    <row r="544" spans="3:3" ht="13">
      <c r="C544" s="32"/>
    </row>
    <row r="545" spans="3:3" ht="13">
      <c r="C545" s="32"/>
    </row>
    <row r="546" spans="3:3" ht="13">
      <c r="C546" s="32"/>
    </row>
    <row r="547" spans="3:3" ht="13">
      <c r="C547" s="32"/>
    </row>
    <row r="548" spans="3:3" ht="13">
      <c r="C548" s="32"/>
    </row>
    <row r="549" spans="3:3" ht="13">
      <c r="C549" s="32"/>
    </row>
    <row r="550" spans="3:3" ht="13">
      <c r="C550" s="32"/>
    </row>
    <row r="551" spans="3:3" ht="13">
      <c r="C551" s="32"/>
    </row>
    <row r="552" spans="3:3" ht="13">
      <c r="C552" s="32"/>
    </row>
    <row r="553" spans="3:3" ht="13">
      <c r="C553" s="32"/>
    </row>
    <row r="554" spans="3:3" ht="13">
      <c r="C554" s="32"/>
    </row>
    <row r="555" spans="3:3" ht="13">
      <c r="C555" s="32"/>
    </row>
    <row r="556" spans="3:3" ht="13">
      <c r="C556" s="32"/>
    </row>
    <row r="557" spans="3:3" ht="13">
      <c r="C557" s="32"/>
    </row>
    <row r="558" spans="3:3" ht="13">
      <c r="C558" s="32"/>
    </row>
    <row r="559" spans="3:3" ht="13">
      <c r="C559" s="32"/>
    </row>
    <row r="560" spans="3:3" ht="13">
      <c r="C560" s="32"/>
    </row>
    <row r="561" spans="3:3" ht="13">
      <c r="C561" s="32"/>
    </row>
    <row r="562" spans="3:3" ht="13">
      <c r="C562" s="32"/>
    </row>
    <row r="563" spans="3:3" ht="13">
      <c r="C563" s="32"/>
    </row>
    <row r="564" spans="3:3" ht="13">
      <c r="C564" s="32"/>
    </row>
    <row r="565" spans="3:3" ht="13">
      <c r="C565" s="32"/>
    </row>
    <row r="566" spans="3:3" ht="13">
      <c r="C566" s="32"/>
    </row>
    <row r="567" spans="3:3" ht="13">
      <c r="C567" s="32"/>
    </row>
    <row r="568" spans="3:3" ht="13">
      <c r="C568" s="32"/>
    </row>
    <row r="569" spans="3:3" ht="13">
      <c r="C569" s="32"/>
    </row>
    <row r="570" spans="3:3" ht="13">
      <c r="C570" s="32"/>
    </row>
    <row r="571" spans="3:3" ht="13">
      <c r="C571" s="32"/>
    </row>
    <row r="572" spans="3:3" ht="13">
      <c r="C572" s="32"/>
    </row>
    <row r="573" spans="3:3" ht="13">
      <c r="C573" s="32"/>
    </row>
    <row r="574" spans="3:3" ht="13">
      <c r="C574" s="32"/>
    </row>
    <row r="575" spans="3:3" ht="13">
      <c r="C575" s="32"/>
    </row>
    <row r="576" spans="3:3" ht="13">
      <c r="C576" s="32"/>
    </row>
    <row r="577" spans="3:3" ht="13">
      <c r="C577" s="32"/>
    </row>
    <row r="578" spans="3:3" ht="13">
      <c r="C578" s="32"/>
    </row>
    <row r="579" spans="3:3" ht="13">
      <c r="C579" s="32"/>
    </row>
    <row r="580" spans="3:3" ht="13">
      <c r="C580" s="32"/>
    </row>
    <row r="581" spans="3:3" ht="13">
      <c r="C581" s="32"/>
    </row>
    <row r="582" spans="3:3" ht="13">
      <c r="C582" s="32"/>
    </row>
    <row r="583" spans="3:3" ht="13">
      <c r="C583" s="32"/>
    </row>
    <row r="584" spans="3:3" ht="13">
      <c r="C584" s="32"/>
    </row>
    <row r="585" spans="3:3" ht="13">
      <c r="C585" s="32"/>
    </row>
    <row r="586" spans="3:3" ht="13">
      <c r="C586" s="32"/>
    </row>
    <row r="587" spans="3:3" ht="13">
      <c r="C587" s="32"/>
    </row>
    <row r="588" spans="3:3" ht="13">
      <c r="C588" s="32"/>
    </row>
    <row r="589" spans="3:3" ht="13">
      <c r="C589" s="32"/>
    </row>
    <row r="590" spans="3:3" ht="13">
      <c r="C590" s="32"/>
    </row>
    <row r="591" spans="3:3" ht="13">
      <c r="C591" s="32"/>
    </row>
    <row r="592" spans="3:3" ht="13">
      <c r="C592" s="32"/>
    </row>
    <row r="593" spans="3:3" ht="13">
      <c r="C593" s="32"/>
    </row>
    <row r="594" spans="3:3" ht="13">
      <c r="C594" s="32"/>
    </row>
    <row r="595" spans="3:3" ht="13">
      <c r="C595" s="32"/>
    </row>
    <row r="596" spans="3:3" ht="13">
      <c r="C596" s="32"/>
    </row>
    <row r="597" spans="3:3" ht="13">
      <c r="C597" s="32"/>
    </row>
    <row r="598" spans="3:3" ht="13">
      <c r="C598" s="32"/>
    </row>
    <row r="599" spans="3:3" ht="13">
      <c r="C599" s="32"/>
    </row>
    <row r="600" spans="3:3" ht="13">
      <c r="C600" s="32"/>
    </row>
    <row r="601" spans="3:3" ht="13">
      <c r="C601" s="32"/>
    </row>
    <row r="602" spans="3:3" ht="13">
      <c r="C602" s="32"/>
    </row>
    <row r="603" spans="3:3" ht="13">
      <c r="C603" s="32"/>
    </row>
    <row r="604" spans="3:3" ht="13">
      <c r="C604" s="32"/>
    </row>
    <row r="605" spans="3:3" ht="13">
      <c r="C605" s="32"/>
    </row>
    <row r="606" spans="3:3" ht="13">
      <c r="C606" s="32"/>
    </row>
    <row r="607" spans="3:3" ht="13">
      <c r="C607" s="32"/>
    </row>
    <row r="608" spans="3:3" ht="13">
      <c r="C608" s="32"/>
    </row>
    <row r="609" spans="3:3" ht="13">
      <c r="C609" s="32"/>
    </row>
    <row r="610" spans="3:3" ht="13">
      <c r="C610" s="32"/>
    </row>
    <row r="611" spans="3:3" ht="13">
      <c r="C611" s="32"/>
    </row>
    <row r="612" spans="3:3" ht="13">
      <c r="C612" s="32"/>
    </row>
    <row r="613" spans="3:3" ht="13">
      <c r="C613" s="32"/>
    </row>
    <row r="614" spans="3:3" ht="13">
      <c r="C614" s="32"/>
    </row>
    <row r="615" spans="3:3" ht="13">
      <c r="C615" s="32"/>
    </row>
    <row r="616" spans="3:3" ht="13">
      <c r="C616" s="32"/>
    </row>
    <row r="617" spans="3:3" ht="13">
      <c r="C617" s="32"/>
    </row>
    <row r="618" spans="3:3" ht="13">
      <c r="C618" s="32"/>
    </row>
    <row r="619" spans="3:3" ht="13">
      <c r="C619" s="32"/>
    </row>
    <row r="620" spans="3:3" ht="13">
      <c r="C620" s="32"/>
    </row>
    <row r="621" spans="3:3" ht="13">
      <c r="C621" s="32"/>
    </row>
    <row r="622" spans="3:3" ht="13">
      <c r="C622" s="32"/>
    </row>
    <row r="623" spans="3:3" ht="13">
      <c r="C623" s="32"/>
    </row>
    <row r="624" spans="3:3" ht="13">
      <c r="C624" s="32"/>
    </row>
    <row r="625" spans="3:3" ht="13">
      <c r="C625" s="32"/>
    </row>
    <row r="626" spans="3:3" ht="13">
      <c r="C626" s="32"/>
    </row>
    <row r="627" spans="3:3" ht="13">
      <c r="C627" s="32"/>
    </row>
    <row r="628" spans="3:3" ht="13">
      <c r="C628" s="32"/>
    </row>
    <row r="629" spans="3:3" ht="13">
      <c r="C629" s="32"/>
    </row>
    <row r="630" spans="3:3" ht="13">
      <c r="C630" s="32"/>
    </row>
    <row r="631" spans="3:3" ht="13">
      <c r="C631" s="32"/>
    </row>
    <row r="632" spans="3:3" ht="13">
      <c r="C632" s="32"/>
    </row>
    <row r="633" spans="3:3" ht="13">
      <c r="C633" s="32"/>
    </row>
    <row r="634" spans="3:3" ht="13">
      <c r="C634" s="32"/>
    </row>
    <row r="635" spans="3:3" ht="13">
      <c r="C635" s="32"/>
    </row>
    <row r="636" spans="3:3" ht="13">
      <c r="C636" s="32"/>
    </row>
    <row r="637" spans="3:3" ht="13">
      <c r="C637" s="32"/>
    </row>
    <row r="638" spans="3:3" ht="13">
      <c r="C638" s="32"/>
    </row>
    <row r="639" spans="3:3" ht="13">
      <c r="C639" s="32"/>
    </row>
    <row r="640" spans="3:3" ht="13">
      <c r="C640" s="32"/>
    </row>
    <row r="641" spans="3:3" ht="13">
      <c r="C641" s="32"/>
    </row>
    <row r="642" spans="3:3" ht="13">
      <c r="C642" s="32"/>
    </row>
    <row r="643" spans="3:3" ht="13">
      <c r="C643" s="32"/>
    </row>
    <row r="644" spans="3:3" ht="13">
      <c r="C644" s="32"/>
    </row>
    <row r="645" spans="3:3" ht="13">
      <c r="C645" s="32"/>
    </row>
    <row r="646" spans="3:3" ht="13">
      <c r="C646" s="32"/>
    </row>
    <row r="647" spans="3:3" ht="13">
      <c r="C647" s="32"/>
    </row>
    <row r="648" spans="3:3" ht="13">
      <c r="C648" s="32"/>
    </row>
    <row r="649" spans="3:3" ht="13">
      <c r="C649" s="32"/>
    </row>
    <row r="650" spans="3:3" ht="13">
      <c r="C650" s="32"/>
    </row>
    <row r="651" spans="3:3" ht="13">
      <c r="C651" s="32"/>
    </row>
    <row r="652" spans="3:3" ht="13">
      <c r="C652" s="32"/>
    </row>
    <row r="653" spans="3:3" ht="13">
      <c r="C653" s="32"/>
    </row>
    <row r="654" spans="3:3" ht="13">
      <c r="C654" s="32"/>
    </row>
    <row r="655" spans="3:3" ht="13">
      <c r="C655" s="32"/>
    </row>
    <row r="656" spans="3:3" ht="13">
      <c r="C656" s="32"/>
    </row>
    <row r="657" spans="3:3" ht="13">
      <c r="C657" s="32"/>
    </row>
    <row r="658" spans="3:3" ht="13">
      <c r="C658" s="32"/>
    </row>
    <row r="659" spans="3:3" ht="13">
      <c r="C659" s="32"/>
    </row>
    <row r="660" spans="3:3" ht="13">
      <c r="C660" s="32"/>
    </row>
    <row r="661" spans="3:3" ht="13">
      <c r="C661" s="32"/>
    </row>
    <row r="662" spans="3:3" ht="13">
      <c r="C662" s="32"/>
    </row>
    <row r="663" spans="3:3" ht="13">
      <c r="C663" s="32"/>
    </row>
    <row r="664" spans="3:3" ht="13">
      <c r="C664" s="32"/>
    </row>
    <row r="665" spans="3:3" ht="13">
      <c r="C665" s="32"/>
    </row>
    <row r="666" spans="3:3" ht="13">
      <c r="C666" s="32"/>
    </row>
    <row r="667" spans="3:3" ht="13">
      <c r="C667" s="32"/>
    </row>
    <row r="668" spans="3:3" ht="13">
      <c r="C668" s="32"/>
    </row>
    <row r="669" spans="3:3" ht="13">
      <c r="C669" s="32"/>
    </row>
    <row r="670" spans="3:3" ht="13">
      <c r="C670" s="32"/>
    </row>
    <row r="671" spans="3:3" ht="13">
      <c r="C671" s="32"/>
    </row>
    <row r="672" spans="3:3" ht="13">
      <c r="C672" s="32"/>
    </row>
    <row r="673" spans="3:3" ht="13">
      <c r="C673" s="32"/>
    </row>
    <row r="674" spans="3:3" ht="13">
      <c r="C674" s="32"/>
    </row>
    <row r="675" spans="3:3" ht="13">
      <c r="C675" s="32"/>
    </row>
    <row r="676" spans="3:3" ht="13">
      <c r="C676" s="32"/>
    </row>
    <row r="677" spans="3:3" ht="13">
      <c r="C677" s="32"/>
    </row>
    <row r="678" spans="3:3" ht="13">
      <c r="C678" s="32"/>
    </row>
    <row r="679" spans="3:3" ht="13">
      <c r="C679" s="32"/>
    </row>
    <row r="680" spans="3:3" ht="13">
      <c r="C680" s="32"/>
    </row>
    <row r="681" spans="3:3" ht="13">
      <c r="C681" s="32"/>
    </row>
    <row r="682" spans="3:3" ht="13">
      <c r="C682" s="32"/>
    </row>
    <row r="683" spans="3:3" ht="13">
      <c r="C683" s="32"/>
    </row>
    <row r="684" spans="3:3" ht="13">
      <c r="C684" s="32"/>
    </row>
    <row r="685" spans="3:3" ht="13">
      <c r="C685" s="32"/>
    </row>
    <row r="686" spans="3:3" ht="13">
      <c r="C686" s="32"/>
    </row>
    <row r="687" spans="3:3" ht="13">
      <c r="C687" s="32"/>
    </row>
    <row r="688" spans="3:3" ht="13">
      <c r="C688" s="32"/>
    </row>
    <row r="689" spans="3:3" ht="13">
      <c r="C689" s="32"/>
    </row>
    <row r="690" spans="3:3" ht="13">
      <c r="C690" s="32"/>
    </row>
    <row r="691" spans="3:3" ht="13">
      <c r="C691" s="32"/>
    </row>
    <row r="692" spans="3:3" ht="13">
      <c r="C692" s="32"/>
    </row>
    <row r="693" spans="3:3" ht="13">
      <c r="C693" s="32"/>
    </row>
    <row r="694" spans="3:3" ht="13">
      <c r="C694" s="32"/>
    </row>
    <row r="695" spans="3:3" ht="13">
      <c r="C695" s="32"/>
    </row>
    <row r="696" spans="3:3" ht="13">
      <c r="C696" s="32"/>
    </row>
    <row r="697" spans="3:3" ht="13">
      <c r="C697" s="32"/>
    </row>
    <row r="698" spans="3:3" ht="13">
      <c r="C698" s="32"/>
    </row>
    <row r="699" spans="3:3" ht="13">
      <c r="C699" s="32"/>
    </row>
    <row r="700" spans="3:3" ht="13">
      <c r="C700" s="32"/>
    </row>
    <row r="701" spans="3:3" ht="13">
      <c r="C701" s="32"/>
    </row>
    <row r="702" spans="3:3" ht="13">
      <c r="C702" s="32"/>
    </row>
    <row r="703" spans="3:3" ht="13">
      <c r="C703" s="32"/>
    </row>
    <row r="704" spans="3:3" ht="13">
      <c r="C704" s="32"/>
    </row>
    <row r="705" spans="3:3" ht="13">
      <c r="C705" s="32"/>
    </row>
    <row r="706" spans="3:3" ht="13">
      <c r="C706" s="32"/>
    </row>
    <row r="707" spans="3:3" ht="13">
      <c r="C707" s="32"/>
    </row>
    <row r="708" spans="3:3" ht="13">
      <c r="C708" s="32"/>
    </row>
    <row r="709" spans="3:3" ht="13">
      <c r="C709" s="32"/>
    </row>
    <row r="710" spans="3:3" ht="13">
      <c r="C710" s="32"/>
    </row>
    <row r="711" spans="3:3" ht="13">
      <c r="C711" s="32"/>
    </row>
    <row r="712" spans="3:3" ht="13">
      <c r="C712" s="32"/>
    </row>
    <row r="713" spans="3:3" ht="13">
      <c r="C713" s="32"/>
    </row>
    <row r="714" spans="3:3" ht="13">
      <c r="C714" s="32"/>
    </row>
    <row r="715" spans="3:3" ht="13">
      <c r="C715" s="32"/>
    </row>
    <row r="716" spans="3:3" ht="13">
      <c r="C716" s="32"/>
    </row>
    <row r="717" spans="3:3" ht="13">
      <c r="C717" s="32"/>
    </row>
    <row r="718" spans="3:3" ht="13">
      <c r="C718" s="32"/>
    </row>
    <row r="719" spans="3:3" ht="13">
      <c r="C719" s="32"/>
    </row>
    <row r="720" spans="3:3" ht="13">
      <c r="C720" s="32"/>
    </row>
    <row r="721" spans="3:3" ht="13">
      <c r="C721" s="32"/>
    </row>
    <row r="722" spans="3:3" ht="13">
      <c r="C722" s="32"/>
    </row>
    <row r="723" spans="3:3" ht="13">
      <c r="C723" s="32"/>
    </row>
    <row r="724" spans="3:3" ht="13">
      <c r="C724" s="32"/>
    </row>
    <row r="725" spans="3:3" ht="13">
      <c r="C725" s="32"/>
    </row>
    <row r="726" spans="3:3" ht="13">
      <c r="C726" s="32"/>
    </row>
    <row r="727" spans="3:3" ht="13">
      <c r="C727" s="32"/>
    </row>
    <row r="728" spans="3:3" ht="13">
      <c r="C728" s="32"/>
    </row>
    <row r="729" spans="3:3" ht="13">
      <c r="C729" s="32"/>
    </row>
    <row r="730" spans="3:3" ht="13">
      <c r="C730" s="32"/>
    </row>
    <row r="731" spans="3:3" ht="13">
      <c r="C731" s="32"/>
    </row>
    <row r="732" spans="3:3" ht="13">
      <c r="C732" s="32"/>
    </row>
    <row r="733" spans="3:3" ht="13">
      <c r="C733" s="32"/>
    </row>
    <row r="734" spans="3:3" ht="13">
      <c r="C734" s="32"/>
    </row>
    <row r="735" spans="3:3" ht="13">
      <c r="C735" s="32"/>
    </row>
    <row r="736" spans="3:3" ht="13">
      <c r="C736" s="32"/>
    </row>
    <row r="737" spans="3:3" ht="13">
      <c r="C737" s="32"/>
    </row>
    <row r="738" spans="3:3" ht="13">
      <c r="C738" s="32"/>
    </row>
    <row r="739" spans="3:3" ht="13">
      <c r="C739" s="32"/>
    </row>
    <row r="740" spans="3:3" ht="13">
      <c r="C740" s="32"/>
    </row>
    <row r="741" spans="3:3" ht="13">
      <c r="C741" s="32"/>
    </row>
    <row r="742" spans="3:3" ht="13">
      <c r="C742" s="32"/>
    </row>
    <row r="743" spans="3:3" ht="13">
      <c r="C743" s="32"/>
    </row>
    <row r="744" spans="3:3" ht="13">
      <c r="C744" s="32"/>
    </row>
    <row r="745" spans="3:3" ht="13">
      <c r="C745" s="32"/>
    </row>
    <row r="746" spans="3:3" ht="13">
      <c r="C746" s="32"/>
    </row>
    <row r="747" spans="3:3" ht="13">
      <c r="C747" s="32"/>
    </row>
    <row r="748" spans="3:3" ht="13">
      <c r="C748" s="32"/>
    </row>
    <row r="749" spans="3:3" ht="13">
      <c r="C749" s="32"/>
    </row>
    <row r="750" spans="3:3" ht="13">
      <c r="C750" s="32"/>
    </row>
    <row r="751" spans="3:3" ht="13">
      <c r="C751" s="32"/>
    </row>
    <row r="752" spans="3:3" ht="13">
      <c r="C752" s="32"/>
    </row>
    <row r="753" spans="3:3" ht="13">
      <c r="C753" s="32"/>
    </row>
    <row r="754" spans="3:3" ht="13">
      <c r="C754" s="32"/>
    </row>
    <row r="755" spans="3:3" ht="13">
      <c r="C755" s="32"/>
    </row>
    <row r="756" spans="3:3" ht="13">
      <c r="C756" s="32"/>
    </row>
    <row r="757" spans="3:3" ht="13">
      <c r="C757" s="32"/>
    </row>
    <row r="758" spans="3:3" ht="13">
      <c r="C758" s="32"/>
    </row>
    <row r="759" spans="3:3" ht="13">
      <c r="C759" s="32"/>
    </row>
    <row r="760" spans="3:3" ht="13">
      <c r="C760" s="32"/>
    </row>
    <row r="761" spans="3:3" ht="13">
      <c r="C761" s="32"/>
    </row>
    <row r="762" spans="3:3" ht="13">
      <c r="C762" s="32"/>
    </row>
    <row r="763" spans="3:3" ht="13">
      <c r="C763" s="32"/>
    </row>
    <row r="764" spans="3:3" ht="13">
      <c r="C764" s="32"/>
    </row>
    <row r="765" spans="3:3" ht="13">
      <c r="C765" s="32"/>
    </row>
    <row r="766" spans="3:3" ht="13">
      <c r="C766" s="32"/>
    </row>
    <row r="767" spans="3:3" ht="13">
      <c r="C767" s="32"/>
    </row>
    <row r="768" spans="3:3" ht="13">
      <c r="C768" s="32"/>
    </row>
    <row r="769" spans="3:3" ht="13">
      <c r="C769" s="32"/>
    </row>
    <row r="770" spans="3:3" ht="13">
      <c r="C770" s="32"/>
    </row>
    <row r="771" spans="3:3" ht="13">
      <c r="C771" s="32"/>
    </row>
    <row r="772" spans="3:3" ht="13">
      <c r="C772" s="32"/>
    </row>
    <row r="773" spans="3:3" ht="13">
      <c r="C773" s="32"/>
    </row>
    <row r="774" spans="3:3" ht="13">
      <c r="C774" s="32"/>
    </row>
    <row r="775" spans="3:3" ht="13">
      <c r="C775" s="32"/>
    </row>
    <row r="776" spans="3:3" ht="13">
      <c r="C776" s="32"/>
    </row>
    <row r="777" spans="3:3" ht="13">
      <c r="C777" s="32"/>
    </row>
    <row r="778" spans="3:3" ht="13">
      <c r="C778" s="32"/>
    </row>
    <row r="779" spans="3:3" ht="13">
      <c r="C779" s="32"/>
    </row>
    <row r="780" spans="3:3" ht="13">
      <c r="C780" s="32"/>
    </row>
    <row r="781" spans="3:3" ht="13">
      <c r="C781" s="32"/>
    </row>
    <row r="782" spans="3:3" ht="13">
      <c r="C782" s="32"/>
    </row>
    <row r="783" spans="3:3" ht="13">
      <c r="C783" s="32"/>
    </row>
    <row r="784" spans="3:3" ht="13">
      <c r="C784" s="32"/>
    </row>
    <row r="785" spans="3:3" ht="13">
      <c r="C785" s="32"/>
    </row>
    <row r="786" spans="3:3" ht="13">
      <c r="C786" s="32"/>
    </row>
    <row r="787" spans="3:3" ht="13">
      <c r="C787" s="32"/>
    </row>
    <row r="788" spans="3:3" ht="13">
      <c r="C788" s="32"/>
    </row>
    <row r="789" spans="3:3" ht="13">
      <c r="C789" s="32"/>
    </row>
    <row r="790" spans="3:3" ht="13">
      <c r="C790" s="32"/>
    </row>
    <row r="791" spans="3:3" ht="13">
      <c r="C791" s="32"/>
    </row>
    <row r="792" spans="3:3" ht="13">
      <c r="C792" s="32"/>
    </row>
    <row r="793" spans="3:3" ht="13">
      <c r="C793" s="32"/>
    </row>
    <row r="794" spans="3:3" ht="13">
      <c r="C794" s="32"/>
    </row>
    <row r="795" spans="3:3" ht="13">
      <c r="C795" s="32"/>
    </row>
    <row r="796" spans="3:3" ht="13">
      <c r="C796" s="32"/>
    </row>
    <row r="797" spans="3:3" ht="13">
      <c r="C797" s="32"/>
    </row>
    <row r="798" spans="3:3" ht="13">
      <c r="C798" s="32"/>
    </row>
    <row r="799" spans="3:3" ht="13">
      <c r="C799" s="32"/>
    </row>
    <row r="800" spans="3:3" ht="13">
      <c r="C800" s="32"/>
    </row>
    <row r="801" spans="3:3" ht="13">
      <c r="C801" s="32"/>
    </row>
    <row r="802" spans="3:3" ht="13">
      <c r="C802" s="32"/>
    </row>
    <row r="803" spans="3:3" ht="13">
      <c r="C803" s="32"/>
    </row>
    <row r="804" spans="3:3" ht="13">
      <c r="C804" s="32"/>
    </row>
    <row r="805" spans="3:3" ht="13">
      <c r="C805" s="32"/>
    </row>
    <row r="806" spans="3:3" ht="13">
      <c r="C806" s="32"/>
    </row>
    <row r="807" spans="3:3" ht="13">
      <c r="C807" s="32"/>
    </row>
    <row r="808" spans="3:3" ht="13">
      <c r="C808" s="32"/>
    </row>
    <row r="809" spans="3:3" ht="13">
      <c r="C809" s="32"/>
    </row>
    <row r="810" spans="3:3" ht="13">
      <c r="C810" s="32"/>
    </row>
    <row r="811" spans="3:3" ht="13">
      <c r="C811" s="32"/>
    </row>
    <row r="812" spans="3:3" ht="13">
      <c r="C812" s="32"/>
    </row>
    <row r="813" spans="3:3" ht="13">
      <c r="C813" s="32"/>
    </row>
    <row r="814" spans="3:3" ht="13">
      <c r="C814" s="32"/>
    </row>
    <row r="815" spans="3:3" ht="13">
      <c r="C815" s="32"/>
    </row>
    <row r="816" spans="3:3" ht="13">
      <c r="C816" s="32"/>
    </row>
    <row r="817" spans="3:3" ht="13">
      <c r="C817" s="32"/>
    </row>
    <row r="818" spans="3:3" ht="13">
      <c r="C818" s="32"/>
    </row>
    <row r="819" spans="3:3" ht="13">
      <c r="C819" s="32"/>
    </row>
    <row r="820" spans="3:3" ht="13">
      <c r="C820" s="32"/>
    </row>
    <row r="821" spans="3:3" ht="13">
      <c r="C821" s="32"/>
    </row>
    <row r="822" spans="3:3" ht="13">
      <c r="C822" s="32"/>
    </row>
    <row r="823" spans="3:3" ht="13">
      <c r="C823" s="32"/>
    </row>
    <row r="824" spans="3:3" ht="13">
      <c r="C824" s="32"/>
    </row>
    <row r="825" spans="3:3" ht="13">
      <c r="C825" s="32"/>
    </row>
    <row r="826" spans="3:3" ht="13">
      <c r="C826" s="32"/>
    </row>
    <row r="827" spans="3:3" ht="13">
      <c r="C827" s="32"/>
    </row>
    <row r="828" spans="3:3" ht="13">
      <c r="C828" s="32"/>
    </row>
    <row r="829" spans="3:3" ht="13">
      <c r="C829" s="32"/>
    </row>
    <row r="830" spans="3:3" ht="13">
      <c r="C830" s="32"/>
    </row>
    <row r="831" spans="3:3" ht="13">
      <c r="C831" s="32"/>
    </row>
    <row r="832" spans="3:3" ht="13">
      <c r="C832" s="32"/>
    </row>
    <row r="833" spans="3:3" ht="13">
      <c r="C833" s="32"/>
    </row>
    <row r="834" spans="3:3" ht="13">
      <c r="C834" s="32"/>
    </row>
    <row r="835" spans="3:3" ht="13">
      <c r="C835" s="32"/>
    </row>
    <row r="836" spans="3:3" ht="13">
      <c r="C836" s="32"/>
    </row>
    <row r="837" spans="3:3" ht="13">
      <c r="C837" s="32"/>
    </row>
    <row r="838" spans="3:3" ht="13">
      <c r="C838" s="32"/>
    </row>
    <row r="839" spans="3:3" ht="13">
      <c r="C839" s="32"/>
    </row>
    <row r="840" spans="3:3" ht="13">
      <c r="C840" s="32"/>
    </row>
    <row r="841" spans="3:3" ht="13">
      <c r="C841" s="32"/>
    </row>
    <row r="842" spans="3:3" ht="13">
      <c r="C842" s="32"/>
    </row>
    <row r="843" spans="3:3" ht="13">
      <c r="C843" s="32"/>
    </row>
    <row r="844" spans="3:3" ht="13">
      <c r="C844" s="32"/>
    </row>
    <row r="845" spans="3:3" ht="13">
      <c r="C845" s="32"/>
    </row>
    <row r="846" spans="3:3" ht="13">
      <c r="C846" s="32"/>
    </row>
    <row r="847" spans="3:3" ht="13">
      <c r="C847" s="32"/>
    </row>
    <row r="848" spans="3:3" ht="13">
      <c r="C848" s="32"/>
    </row>
    <row r="849" spans="3:3" ht="13">
      <c r="C849" s="32"/>
    </row>
    <row r="850" spans="3:3" ht="13">
      <c r="C850" s="32"/>
    </row>
    <row r="851" spans="3:3" ht="13">
      <c r="C851" s="32"/>
    </row>
    <row r="852" spans="3:3" ht="13">
      <c r="C852" s="32"/>
    </row>
    <row r="853" spans="3:3" ht="13">
      <c r="C853" s="32"/>
    </row>
    <row r="854" spans="3:3" ht="13">
      <c r="C854" s="32"/>
    </row>
    <row r="855" spans="3:3" ht="13">
      <c r="C855" s="32"/>
    </row>
    <row r="856" spans="3:3" ht="13">
      <c r="C856" s="32"/>
    </row>
    <row r="857" spans="3:3" ht="13">
      <c r="C857" s="32"/>
    </row>
    <row r="858" spans="3:3" ht="13">
      <c r="C858" s="32"/>
    </row>
    <row r="859" spans="3:3" ht="13">
      <c r="C859" s="32"/>
    </row>
    <row r="860" spans="3:3" ht="13">
      <c r="C860" s="32"/>
    </row>
    <row r="861" spans="3:3" ht="13">
      <c r="C861" s="32"/>
    </row>
    <row r="862" spans="3:3" ht="13">
      <c r="C862" s="32"/>
    </row>
    <row r="863" spans="3:3" ht="13">
      <c r="C863" s="32"/>
    </row>
    <row r="864" spans="3:3" ht="13">
      <c r="C864" s="32"/>
    </row>
    <row r="865" spans="3:3" ht="13">
      <c r="C865" s="32"/>
    </row>
    <row r="866" spans="3:3" ht="13">
      <c r="C866" s="32"/>
    </row>
    <row r="867" spans="3:3" ht="13">
      <c r="C867" s="32"/>
    </row>
    <row r="868" spans="3:3" ht="13">
      <c r="C868" s="32"/>
    </row>
    <row r="869" spans="3:3" ht="13">
      <c r="C869" s="32"/>
    </row>
    <row r="870" spans="3:3" ht="13">
      <c r="C870" s="32"/>
    </row>
    <row r="871" spans="3:3" ht="13">
      <c r="C871" s="32"/>
    </row>
    <row r="872" spans="3:3" ht="13">
      <c r="C872" s="32"/>
    </row>
    <row r="873" spans="3:3" ht="13">
      <c r="C873" s="32"/>
    </row>
    <row r="874" spans="3:3" ht="13">
      <c r="C874" s="32"/>
    </row>
    <row r="875" spans="3:3" ht="13">
      <c r="C875" s="32"/>
    </row>
    <row r="876" spans="3:3" ht="13">
      <c r="C876" s="32"/>
    </row>
    <row r="877" spans="3:3" ht="13">
      <c r="C877" s="32"/>
    </row>
    <row r="878" spans="3:3" ht="13">
      <c r="C878" s="32"/>
    </row>
    <row r="879" spans="3:3" ht="13">
      <c r="C879" s="32"/>
    </row>
    <row r="880" spans="3:3" ht="13">
      <c r="C880" s="32"/>
    </row>
    <row r="881" spans="3:3" ht="13">
      <c r="C881" s="32"/>
    </row>
    <row r="882" spans="3:3" ht="13">
      <c r="C882" s="32"/>
    </row>
    <row r="883" spans="3:3" ht="13">
      <c r="C883" s="32"/>
    </row>
    <row r="884" spans="3:3" ht="13">
      <c r="C884" s="32"/>
    </row>
    <row r="885" spans="3:3" ht="13">
      <c r="C885" s="32"/>
    </row>
    <row r="886" spans="3:3" ht="13">
      <c r="C886" s="32"/>
    </row>
    <row r="887" spans="3:3" ht="13">
      <c r="C887" s="32"/>
    </row>
    <row r="888" spans="3:3" ht="13">
      <c r="C888" s="32"/>
    </row>
    <row r="889" spans="3:3" ht="13">
      <c r="C889" s="32"/>
    </row>
    <row r="890" spans="3:3" ht="13">
      <c r="C890" s="32"/>
    </row>
    <row r="891" spans="3:3" ht="13">
      <c r="C891" s="32"/>
    </row>
    <row r="892" spans="3:3" ht="13">
      <c r="C892" s="32"/>
    </row>
    <row r="893" spans="3:3" ht="13">
      <c r="C893" s="32"/>
    </row>
    <row r="894" spans="3:3" ht="13">
      <c r="C894" s="32"/>
    </row>
    <row r="895" spans="3:3" ht="13">
      <c r="C895" s="32"/>
    </row>
    <row r="896" spans="3:3" ht="13">
      <c r="C896" s="32"/>
    </row>
    <row r="897" spans="3:3" ht="13">
      <c r="C897" s="32"/>
    </row>
    <row r="898" spans="3:3" ht="13">
      <c r="C898" s="32"/>
    </row>
    <row r="899" spans="3:3" ht="13">
      <c r="C899" s="32"/>
    </row>
    <row r="900" spans="3:3" ht="13">
      <c r="C900" s="32"/>
    </row>
    <row r="901" spans="3:3" ht="13">
      <c r="C901" s="32"/>
    </row>
    <row r="902" spans="3:3" ht="13">
      <c r="C902" s="32"/>
    </row>
    <row r="903" spans="3:3" ht="13">
      <c r="C903" s="32"/>
    </row>
    <row r="904" spans="3:3" ht="13">
      <c r="C904" s="32"/>
    </row>
    <row r="905" spans="3:3" ht="13">
      <c r="C905" s="32"/>
    </row>
    <row r="906" spans="3:3" ht="13">
      <c r="C906" s="32"/>
    </row>
    <row r="907" spans="3:3" ht="13">
      <c r="C907" s="32"/>
    </row>
    <row r="908" spans="3:3" ht="13">
      <c r="C908" s="32"/>
    </row>
    <row r="909" spans="3:3" ht="13">
      <c r="C909" s="32"/>
    </row>
    <row r="910" spans="3:3" ht="13">
      <c r="C910" s="32"/>
    </row>
    <row r="911" spans="3:3" ht="13">
      <c r="C911" s="32"/>
    </row>
    <row r="912" spans="3:3" ht="13">
      <c r="C912" s="32"/>
    </row>
    <row r="913" spans="3:3" ht="13">
      <c r="C913" s="32"/>
    </row>
    <row r="914" spans="3:3" ht="13">
      <c r="C914" s="32"/>
    </row>
    <row r="915" spans="3:3" ht="13">
      <c r="C915" s="32"/>
    </row>
    <row r="916" spans="3:3" ht="13">
      <c r="C916" s="32"/>
    </row>
    <row r="917" spans="3:3" ht="13">
      <c r="C917" s="32"/>
    </row>
    <row r="918" spans="3:3" ht="13">
      <c r="C918" s="32"/>
    </row>
    <row r="919" spans="3:3" ht="13">
      <c r="C919" s="32"/>
    </row>
    <row r="920" spans="3:3" ht="13">
      <c r="C920" s="32"/>
    </row>
    <row r="921" spans="3:3" ht="13">
      <c r="C921" s="32"/>
    </row>
    <row r="922" spans="3:3" ht="13">
      <c r="C922" s="32"/>
    </row>
    <row r="923" spans="3:3" ht="13">
      <c r="C923" s="32"/>
    </row>
    <row r="924" spans="3:3" ht="13">
      <c r="C924" s="32"/>
    </row>
    <row r="925" spans="3:3" ht="13">
      <c r="C925" s="32"/>
    </row>
    <row r="926" spans="3:3" ht="13">
      <c r="C926" s="32"/>
    </row>
    <row r="927" spans="3:3" ht="13">
      <c r="C927" s="32"/>
    </row>
    <row r="928" spans="3:3" ht="13">
      <c r="C928" s="32"/>
    </row>
    <row r="929" spans="3:3" ht="13">
      <c r="C929" s="32"/>
    </row>
    <row r="930" spans="3:3" ht="13">
      <c r="C930" s="32"/>
    </row>
    <row r="931" spans="3:3" ht="13">
      <c r="C931" s="32"/>
    </row>
    <row r="932" spans="3:3" ht="13">
      <c r="C932" s="32"/>
    </row>
    <row r="933" spans="3:3" ht="13">
      <c r="C933" s="32"/>
    </row>
    <row r="934" spans="3:3" ht="13">
      <c r="C934" s="32"/>
    </row>
    <row r="935" spans="3:3" ht="13">
      <c r="C935" s="32"/>
    </row>
    <row r="936" spans="3:3" ht="13">
      <c r="C936" s="32"/>
    </row>
    <row r="937" spans="3:3" ht="13">
      <c r="C937" s="32"/>
    </row>
    <row r="938" spans="3:3" ht="13">
      <c r="C938" s="32"/>
    </row>
    <row r="939" spans="3:3" ht="13">
      <c r="C939" s="32"/>
    </row>
    <row r="940" spans="3:3" ht="13">
      <c r="C940" s="32"/>
    </row>
    <row r="941" spans="3:3" ht="13">
      <c r="C941" s="32"/>
    </row>
    <row r="942" spans="3:3" ht="13">
      <c r="C942" s="32"/>
    </row>
    <row r="943" spans="3:3" ht="13">
      <c r="C943" s="32"/>
    </row>
    <row r="944" spans="3:3" ht="13">
      <c r="C944" s="32"/>
    </row>
    <row r="945" spans="3:3" ht="13">
      <c r="C945" s="32"/>
    </row>
    <row r="946" spans="3:3" ht="13">
      <c r="C946" s="32"/>
    </row>
    <row r="947" spans="3:3" ht="13">
      <c r="C947" s="32"/>
    </row>
    <row r="948" spans="3:3" ht="13">
      <c r="C948" s="32"/>
    </row>
    <row r="949" spans="3:3" ht="13">
      <c r="C949" s="32"/>
    </row>
    <row r="950" spans="3:3" ht="13">
      <c r="C950" s="32"/>
    </row>
    <row r="951" spans="3:3" ht="13">
      <c r="C951" s="32"/>
    </row>
    <row r="952" spans="3:3" ht="13">
      <c r="C952" s="32"/>
    </row>
    <row r="953" spans="3:3" ht="13">
      <c r="C953" s="32"/>
    </row>
    <row r="954" spans="3:3" ht="13">
      <c r="C954" s="32"/>
    </row>
    <row r="955" spans="3:3" ht="13">
      <c r="C955" s="32"/>
    </row>
    <row r="956" spans="3:3" ht="13">
      <c r="C956" s="32"/>
    </row>
    <row r="957" spans="3:3" ht="13">
      <c r="C957" s="32"/>
    </row>
  </sheetData>
  <autoFilter ref="A4:AH48" xr:uid="{00000000-0009-0000-0000-000001000000}"/>
  <mergeCells count="7">
    <mergeCell ref="C13:C14"/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29" xr:uid="{00000000-0002-0000-01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51 P5:P51 R5:R51" xr:uid="{00000000-0002-0000-0100-000001000000}">
      <formula1>"High,Low,None"</formula1>
    </dataValidation>
    <dataValidation type="list" allowBlank="1" showErrorMessage="1" sqref="B5:B51" xr:uid="{00000000-0002-0000-0100-000002000000}">
      <formula1>"Spoofing ,Tampering,Repudiation,Information Disclosure,Denial of Service,Elevation of Privilage"</formula1>
    </dataValidation>
    <dataValidation type="list" allowBlank="1" showErrorMessage="1" sqref="L5:L51" xr:uid="{00000000-0002-0000-0100-000003000000}">
      <formula1>"Unchanged,Changed"</formula1>
    </dataValidation>
    <dataValidation type="list" allowBlank="1" showErrorMessage="1" sqref="F5:F51" xr:uid="{00000000-0002-0000-0100-000004000000}">
      <formula1>"Low,High"</formula1>
    </dataValidation>
    <dataValidation type="list" allowBlank="1" showErrorMessage="1" sqref="D5:D51" xr:uid="{00000000-0002-0000-0100-000005000000}">
      <formula1>"Network,Adjacent Network,Local,Physical"</formula1>
    </dataValidation>
    <dataValidation type="list" allowBlank="1" showErrorMessage="1" sqref="A22 A24 A27:A28 A30:A39 A41:A51" xr:uid="{00000000-0002-0000-01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51" xr:uid="{00000000-0002-0000-0100-000007000000}">
      <formula1>"None,Required"</formula1>
    </dataValidation>
    <dataValidation type="list" allowBlank="1" showErrorMessage="1" sqref="A5:A21 A23 A25:A26 A40" xr:uid="{00000000-0002-0000-0100-000008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51" xr:uid="{00000000-0002-0000-0100-000009000000}">
      <formula1>"None,Low,High"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1.8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51</v>
      </c>
      <c r="C5" s="28" t="s">
        <v>109</v>
      </c>
      <c r="D5" s="19" t="s">
        <v>38</v>
      </c>
      <c r="E5" s="18">
        <f t="shared" ref="E5:E11" si="0">IF(D5="Network",0.85,IF(D5="Adjacent Network",0.62,IF(D5="Local",0.55,IF(D5="Physical",0.2,0))))</f>
        <v>0.85</v>
      </c>
      <c r="F5" s="19" t="s">
        <v>47</v>
      </c>
      <c r="G5" s="18">
        <f t="shared" ref="G5:G6" si="1">IF(F5="Low",0.77,IF(F5="High",0.44,0))</f>
        <v>0.77</v>
      </c>
      <c r="H5" s="19" t="s">
        <v>39</v>
      </c>
      <c r="I5" s="18">
        <f t="shared" ref="I5:I11" si="2">IF(H5="None",0.85,IF(AND(H5="Low",L5="Unchanged"),0.62,IF(AND(H5="Low",L5="Changed"),0.68,IF(AND(H5="High",L5="Changed"),0.5,IF(AND(H5="High",L5="Unchanged"),0.27,0)))))</f>
        <v>0.27</v>
      </c>
      <c r="J5" s="19" t="s">
        <v>42</v>
      </c>
      <c r="K5" s="18">
        <f t="shared" ref="K5:K11" si="3">IF(J5="Required",0.62,IF(J5="None",0.85,0))</f>
        <v>0.85</v>
      </c>
      <c r="L5" s="19" t="s">
        <v>59</v>
      </c>
      <c r="M5" s="18">
        <f t="shared" ref="M5:M11" si="4">IF(L5="Changed",7.52,IF(L5="Unchanged",6.42,0))</f>
        <v>6.42</v>
      </c>
      <c r="N5" s="19" t="s">
        <v>39</v>
      </c>
      <c r="O5" s="19">
        <f t="shared" ref="O5:O11" si="5">IF(N5="High",0.56,IF(N5="Low",0.22,IF(N5="None",0,0)))</f>
        <v>0.56000000000000005</v>
      </c>
      <c r="P5" s="19" t="s">
        <v>42</v>
      </c>
      <c r="Q5" s="19">
        <f t="shared" ref="Q5:Q11" si="6">IF(P5="High",0.56,IF(P5="Low",0.22,IF(P5="None",0,0)))</f>
        <v>0</v>
      </c>
      <c r="R5" s="19" t="s">
        <v>42</v>
      </c>
      <c r="S5" s="19">
        <f t="shared" ref="S5:S11" si="7">IF(R5="High",0.56,IF(R5="Low",0.22,IF(R5="None",0,0)))</f>
        <v>0</v>
      </c>
      <c r="T5" s="20">
        <f t="shared" ref="T5:T11" si="8">IF(V5&lt;=0,0,IF(L5="Unchanged",MIN(W5+V5,10),MIN((W5+V5)*1.08,10)))</f>
        <v>4.8299077050000001</v>
      </c>
      <c r="U5" s="21">
        <f t="shared" ref="U5:U11" si="9">(1-((1-O5)*(1-Q5)*(1-S5)))</f>
        <v>0.56000000000000005</v>
      </c>
      <c r="V5" s="22">
        <f t="shared" ref="V5:V11" si="10">IF(L5="Unchanged",M5*U5,M5*(U5-0.029)-3.25*POWER(U5-0.02,15))</f>
        <v>3.5952000000000002</v>
      </c>
      <c r="W5" s="22">
        <f t="shared" ref="W5:W11" si="11">8.22*E5*G5*I5*K5</f>
        <v>1.2347077050000002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104</v>
      </c>
      <c r="B6" s="19" t="s">
        <v>51</v>
      </c>
      <c r="C6" s="19" t="s">
        <v>105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47</v>
      </c>
      <c r="I6" s="18">
        <f t="shared" si="2"/>
        <v>0.62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8.0123427300000003</v>
      </c>
      <c r="U6" s="21">
        <f t="shared" si="9"/>
        <v>0.80640000000000001</v>
      </c>
      <c r="V6" s="22">
        <f t="shared" si="10"/>
        <v>5.1770880000000004</v>
      </c>
      <c r="W6" s="22">
        <f t="shared" si="11"/>
        <v>2.8352547299999999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56</v>
      </c>
      <c r="B7" s="17" t="s">
        <v>57</v>
      </c>
      <c r="C7" s="28" t="s">
        <v>58</v>
      </c>
      <c r="D7" s="17" t="s">
        <v>38</v>
      </c>
      <c r="E7" s="29">
        <f t="shared" si="0"/>
        <v>0.85</v>
      </c>
      <c r="F7" s="17" t="s">
        <v>39</v>
      </c>
      <c r="G7" s="29">
        <f>IF(F7="High",0.44,IF(F7="Low",0.77,0))</f>
        <v>0.44</v>
      </c>
      <c r="H7" s="17" t="s">
        <v>42</v>
      </c>
      <c r="I7" s="29">
        <f t="shared" si="2"/>
        <v>0.85</v>
      </c>
      <c r="J7" s="17" t="s">
        <v>40</v>
      </c>
      <c r="K7" s="29">
        <f t="shared" si="3"/>
        <v>0.62</v>
      </c>
      <c r="L7" s="17" t="s">
        <v>59</v>
      </c>
      <c r="M7" s="29">
        <f t="shared" si="4"/>
        <v>6.42</v>
      </c>
      <c r="N7" s="17" t="s">
        <v>42</v>
      </c>
      <c r="O7" s="17">
        <f t="shared" si="5"/>
        <v>0</v>
      </c>
      <c r="P7" s="17" t="s">
        <v>42</v>
      </c>
      <c r="Q7" s="17">
        <f t="shared" si="6"/>
        <v>0</v>
      </c>
      <c r="R7" s="17" t="s">
        <v>39</v>
      </c>
      <c r="S7" s="17">
        <f t="shared" si="7"/>
        <v>0.56000000000000005</v>
      </c>
      <c r="T7" s="20">
        <f t="shared" si="8"/>
        <v>5.2153455600000003</v>
      </c>
      <c r="U7" s="21">
        <f t="shared" si="9"/>
        <v>0.56000000000000005</v>
      </c>
      <c r="V7" s="22">
        <f t="shared" si="10"/>
        <v>3.5952000000000002</v>
      </c>
      <c r="W7" s="22">
        <f t="shared" si="11"/>
        <v>1.6201455599999999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50</v>
      </c>
      <c r="B8" s="19" t="s">
        <v>36</v>
      </c>
      <c r="C8" s="27" t="s">
        <v>96</v>
      </c>
      <c r="D8" s="19" t="s">
        <v>38</v>
      </c>
      <c r="E8" s="18">
        <f t="shared" si="0"/>
        <v>0.85</v>
      </c>
      <c r="F8" s="19" t="s">
        <v>47</v>
      </c>
      <c r="G8" s="18">
        <f t="shared" ref="G8:G11" si="12">IF(F8="Low",0.77,IF(F8="High",0.44,0))</f>
        <v>0.77</v>
      </c>
      <c r="H8" s="19" t="s">
        <v>42</v>
      </c>
      <c r="I8" s="18">
        <f t="shared" si="2"/>
        <v>0.85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42</v>
      </c>
      <c r="S8" s="19">
        <f t="shared" si="7"/>
        <v>0</v>
      </c>
      <c r="T8" s="20">
        <f t="shared" si="8"/>
        <v>9.0641307750000006</v>
      </c>
      <c r="U8" s="21">
        <f t="shared" si="9"/>
        <v>0.80640000000000001</v>
      </c>
      <c r="V8" s="22">
        <f t="shared" si="10"/>
        <v>5.1770880000000004</v>
      </c>
      <c r="W8" s="22">
        <f t="shared" si="11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77</v>
      </c>
      <c r="B9" s="17" t="s">
        <v>63</v>
      </c>
      <c r="C9" s="28" t="s">
        <v>78</v>
      </c>
      <c r="D9" s="17" t="s">
        <v>38</v>
      </c>
      <c r="E9" s="29">
        <f t="shared" si="0"/>
        <v>0.85</v>
      </c>
      <c r="F9" s="17" t="s">
        <v>47</v>
      </c>
      <c r="G9" s="29">
        <f t="shared" si="12"/>
        <v>0.77</v>
      </c>
      <c r="H9" s="17" t="s">
        <v>47</v>
      </c>
      <c r="I9" s="29">
        <f t="shared" si="2"/>
        <v>0.68</v>
      </c>
      <c r="J9" s="17" t="s">
        <v>40</v>
      </c>
      <c r="K9" s="29">
        <f t="shared" si="3"/>
        <v>0.62</v>
      </c>
      <c r="L9" s="17" t="s">
        <v>41</v>
      </c>
      <c r="M9" s="29">
        <f t="shared" si="4"/>
        <v>7.52</v>
      </c>
      <c r="N9" s="17" t="s">
        <v>39</v>
      </c>
      <c r="O9" s="17">
        <f t="shared" si="5"/>
        <v>0.56000000000000005</v>
      </c>
      <c r="P9" s="17" t="s">
        <v>39</v>
      </c>
      <c r="Q9" s="17">
        <f t="shared" si="6"/>
        <v>0.56000000000000005</v>
      </c>
      <c r="R9" s="17" t="s">
        <v>39</v>
      </c>
      <c r="S9" s="17">
        <f t="shared" si="7"/>
        <v>0.56000000000000005</v>
      </c>
      <c r="T9" s="20">
        <f t="shared" si="8"/>
        <v>8.9812090175880819</v>
      </c>
      <c r="U9" s="21">
        <f t="shared" si="9"/>
        <v>0.91481600000000007</v>
      </c>
      <c r="V9" s="22">
        <f t="shared" si="10"/>
        <v>6.0477304915445185</v>
      </c>
      <c r="W9" s="22">
        <f t="shared" si="11"/>
        <v>2.2682037840000002</v>
      </c>
      <c r="X9" s="29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.75" customHeight="1">
      <c r="A10" s="17" t="s">
        <v>56</v>
      </c>
      <c r="B10" s="17" t="s">
        <v>63</v>
      </c>
      <c r="C10" s="28" t="s">
        <v>64</v>
      </c>
      <c r="D10" s="17" t="s">
        <v>38</v>
      </c>
      <c r="E10" s="29">
        <f t="shared" si="0"/>
        <v>0.85</v>
      </c>
      <c r="F10" s="17" t="s">
        <v>39</v>
      </c>
      <c r="G10" s="29">
        <f t="shared" si="12"/>
        <v>0.44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5.7120355715551225</v>
      </c>
      <c r="U10" s="21">
        <f t="shared" si="9"/>
        <v>0.56000000000000005</v>
      </c>
      <c r="V10" s="22">
        <f t="shared" si="10"/>
        <v>3.9928053775140029</v>
      </c>
      <c r="W10" s="22">
        <f t="shared" si="11"/>
        <v>1.2961164479999998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43</v>
      </c>
      <c r="B11" s="19" t="s">
        <v>51</v>
      </c>
      <c r="C11" s="27" t="s">
        <v>100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42</v>
      </c>
      <c r="I11" s="18">
        <f t="shared" si="2"/>
        <v>0.85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9.2803165536186878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2.8352547300000004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>
        <f>SUM(T5:T11)</f>
        <v>51.09528791276189</v>
      </c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1 P5:P11 R5:R11" xr:uid="{00000000-0002-0000-0200-000000000000}">
      <formula1>"High,Low,None"</formula1>
    </dataValidation>
    <dataValidation type="list" allowBlank="1" showErrorMessage="1" sqref="B5:B11" xr:uid="{00000000-0002-0000-0200-000001000000}">
      <formula1>"Spoofing ,Tampering,Repudiation,Information Disclosure,Denial of Service,Elevation of Privilage"</formula1>
    </dataValidation>
    <dataValidation type="list" allowBlank="1" showErrorMessage="1" sqref="L5:L11" xr:uid="{00000000-0002-0000-0200-000002000000}">
      <formula1>"Unchanged,Changed"</formula1>
    </dataValidation>
    <dataValidation type="list" allowBlank="1" showErrorMessage="1" sqref="F5:F11" xr:uid="{00000000-0002-0000-0200-000003000000}">
      <formula1>"Low,High"</formula1>
    </dataValidation>
    <dataValidation type="list" allowBlank="1" showErrorMessage="1" sqref="D5:D11" xr:uid="{00000000-0002-0000-0200-000004000000}">
      <formula1>"Network,Adjacent Network,Local,Physical"</formula1>
    </dataValidation>
    <dataValidation type="list" allowBlank="1" showErrorMessage="1" sqref="A5:A6 A8 A11" xr:uid="{00000000-0002-0000-02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1" xr:uid="{00000000-0002-0000-0200-000006000000}">
      <formula1>"None,Required"</formula1>
    </dataValidation>
    <dataValidation type="list" allowBlank="1" showErrorMessage="1" sqref="H5:H11" xr:uid="{00000000-0002-0000-0200-000007000000}">
      <formula1>"None,Low,High"</formula1>
    </dataValidation>
    <dataValidation type="list" allowBlank="1" showErrorMessage="1" sqref="A7 A9:A10" xr:uid="{00000000-0002-0000-02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7.3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51</v>
      </c>
      <c r="C5" s="28" t="s">
        <v>110</v>
      </c>
      <c r="D5" s="19" t="s">
        <v>38</v>
      </c>
      <c r="E5" s="18">
        <f t="shared" ref="E5:E6" si="0">IF(D5="Network",0.85,IF(D5="Adjacent Network",0.62,IF(D5="Local",0.55,IF(D5="Physical",0.2,0))))</f>
        <v>0.85</v>
      </c>
      <c r="F5" s="19" t="s">
        <v>47</v>
      </c>
      <c r="G5" s="18">
        <f t="shared" ref="G5:G6" si="1">IF(F5="Low",0.77,IF(F5="High",0.44,0))</f>
        <v>0.77</v>
      </c>
      <c r="H5" s="19" t="s">
        <v>39</v>
      </c>
      <c r="I5" s="18">
        <f t="shared" ref="I5:I6" si="2">IF(H5="None",0.85,IF(AND(H5="Low",L5="Unchanged"),0.62,IF(AND(H5="Low",L5="Changed"),0.68,IF(AND(H5="High",L5="Changed"),0.5,IF(AND(H5="High",L5="Unchanged"),0.27,0)))))</f>
        <v>0.27</v>
      </c>
      <c r="J5" s="19" t="s">
        <v>42</v>
      </c>
      <c r="K5" s="18">
        <f t="shared" ref="K5:K6" si="3">IF(J5="Required",0.62,IF(J5="None",0.85,0))</f>
        <v>0.85</v>
      </c>
      <c r="L5" s="19" t="s">
        <v>59</v>
      </c>
      <c r="M5" s="18">
        <f t="shared" ref="M5:M6" si="4">IF(L5="Changed",7.52,IF(L5="Unchanged",6.42,0))</f>
        <v>6.42</v>
      </c>
      <c r="N5" s="19" t="s">
        <v>39</v>
      </c>
      <c r="O5" s="19">
        <f t="shared" ref="O5:O6" si="5">IF(N5="High",0.56,IF(N5="Low",0.22,IF(N5="None",0,0)))</f>
        <v>0.56000000000000005</v>
      </c>
      <c r="P5" s="19" t="s">
        <v>42</v>
      </c>
      <c r="Q5" s="19">
        <f t="shared" ref="Q5:Q6" si="6">IF(P5="High",0.56,IF(P5="Low",0.22,IF(P5="None",0,0)))</f>
        <v>0</v>
      </c>
      <c r="R5" s="19" t="s">
        <v>42</v>
      </c>
      <c r="S5" s="19">
        <f t="shared" ref="S5:S6" si="7">IF(R5="High",0.56,IF(R5="Low",0.22,IF(R5="None",0,0)))</f>
        <v>0</v>
      </c>
      <c r="T5" s="20">
        <f t="shared" ref="T5:T6" si="8">IF(V5&lt;=0,0,IF(L5="Unchanged",MIN(W5+V5,10),MIN((W5+V5)*1.08,10)))</f>
        <v>4.8299077050000001</v>
      </c>
      <c r="U5" s="21">
        <f t="shared" ref="U5:U6" si="9">(1-((1-O5)*(1-Q5)*(1-S5)))</f>
        <v>0.56000000000000005</v>
      </c>
      <c r="V5" s="22">
        <f t="shared" ref="V5:V6" si="10">IF(L5="Unchanged",M5*U5,M5*(U5-0.029)-3.25*POWER(U5-0.02,15))</f>
        <v>3.5952000000000002</v>
      </c>
      <c r="W5" s="22">
        <f t="shared" ref="W5:W6" si="11">8.22*E5*G5*I5*K5</f>
        <v>1.2347077050000002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104</v>
      </c>
      <c r="B6" s="19" t="s">
        <v>51</v>
      </c>
      <c r="C6" s="19" t="s">
        <v>105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47</v>
      </c>
      <c r="I6" s="18">
        <f t="shared" si="2"/>
        <v>0.62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8.0123427300000003</v>
      </c>
      <c r="U6" s="21">
        <f t="shared" si="9"/>
        <v>0.80640000000000001</v>
      </c>
      <c r="V6" s="22">
        <f t="shared" si="10"/>
        <v>5.1770880000000004</v>
      </c>
      <c r="W6" s="22">
        <f t="shared" si="11"/>
        <v>2.8352547299999999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T7" s="33">
        <f>SUM(T5:T6)</f>
        <v>12.842250435</v>
      </c>
    </row>
    <row r="9" spans="1:34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8"/>
      <c r="Q9" s="19"/>
      <c r="R9" s="18"/>
      <c r="S9" s="19"/>
      <c r="T9" s="20"/>
      <c r="U9" s="21"/>
      <c r="V9" s="22"/>
      <c r="W9" s="22"/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18"/>
      <c r="Q10" s="19"/>
      <c r="R10" s="18"/>
      <c r="S10" s="19"/>
      <c r="T10" s="20"/>
      <c r="U10" s="21"/>
      <c r="V10" s="22"/>
      <c r="W10" s="22"/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/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8"/>
      <c r="Q28" s="19"/>
      <c r="R28" s="18"/>
      <c r="S28" s="19"/>
      <c r="T28" s="20"/>
      <c r="U28" s="21"/>
      <c r="V28" s="22"/>
      <c r="W28" s="22"/>
      <c r="X28" s="18"/>
      <c r="Y28" s="18"/>
      <c r="Z28" s="18"/>
      <c r="AA28" s="18"/>
      <c r="AB28" s="18"/>
      <c r="AC28" s="18"/>
      <c r="AD28" s="18"/>
      <c r="AE28" s="18"/>
      <c r="AF28" s="18"/>
      <c r="AG28" s="23"/>
      <c r="AH28" s="23"/>
    </row>
    <row r="29" spans="1:34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8"/>
      <c r="Q29" s="19"/>
      <c r="R29" s="18"/>
      <c r="S29" s="19"/>
      <c r="T29" s="20"/>
      <c r="U29" s="21"/>
      <c r="V29" s="22"/>
      <c r="W29" s="22"/>
      <c r="X29" s="18"/>
      <c r="Y29" s="18"/>
      <c r="Z29" s="18"/>
      <c r="AA29" s="18"/>
      <c r="AB29" s="18"/>
      <c r="AC29" s="18"/>
      <c r="AD29" s="18"/>
      <c r="AE29" s="18"/>
      <c r="AF29" s="18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17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17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A35" s="23"/>
      <c r="B35" s="23"/>
      <c r="C35" s="23"/>
      <c r="D35" s="23"/>
      <c r="E35" s="18"/>
      <c r="F35" s="23"/>
      <c r="G35" s="18"/>
      <c r="H35" s="23"/>
      <c r="I35" s="18"/>
      <c r="J35" s="23"/>
      <c r="K35" s="18"/>
      <c r="L35" s="23"/>
      <c r="M35" s="18"/>
      <c r="N35" s="23"/>
      <c r="O35" s="19"/>
      <c r="P35" s="18"/>
      <c r="Q35" s="19"/>
      <c r="R35" s="18"/>
      <c r="S35" s="19"/>
      <c r="T35" s="20"/>
      <c r="U35" s="21"/>
      <c r="V35" s="22"/>
      <c r="W35" s="22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>
      <c r="A36" s="23"/>
      <c r="B36" s="23"/>
      <c r="C36" s="23"/>
      <c r="D36" s="23"/>
      <c r="E36" s="18"/>
      <c r="F36" s="23"/>
      <c r="G36" s="18"/>
      <c r="H36" s="23"/>
      <c r="I36" s="18"/>
      <c r="J36" s="23"/>
      <c r="K36" s="18"/>
      <c r="L36" s="23"/>
      <c r="M36" s="18"/>
      <c r="N36" s="23"/>
      <c r="O36" s="19"/>
      <c r="P36" s="18"/>
      <c r="Q36" s="19"/>
      <c r="R36" s="18"/>
      <c r="S36" s="19"/>
      <c r="T36" s="20"/>
      <c r="U36" s="21"/>
      <c r="V36" s="22"/>
      <c r="W36" s="22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>
      <c r="E42" s="3"/>
      <c r="G42" s="3"/>
      <c r="I42" s="3"/>
      <c r="K42" s="3"/>
      <c r="M42" s="3"/>
      <c r="O42" s="24"/>
      <c r="P42" s="3"/>
      <c r="Q42" s="24"/>
      <c r="R42" s="3"/>
      <c r="S42" s="24"/>
      <c r="T42" s="20"/>
      <c r="U42" s="21"/>
      <c r="V42" s="22"/>
      <c r="W42" s="22"/>
    </row>
    <row r="43" spans="1:34">
      <c r="E43" s="3"/>
      <c r="G43" s="3"/>
      <c r="I43" s="3"/>
      <c r="K43" s="3"/>
      <c r="M43" s="3"/>
      <c r="O43" s="24"/>
      <c r="P43" s="3"/>
      <c r="Q43" s="24"/>
      <c r="R43" s="3"/>
      <c r="S43" s="24"/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6 P5:P6 R5:R6" xr:uid="{00000000-0002-0000-0300-000000000000}">
      <formula1>"High,Low,None"</formula1>
    </dataValidation>
    <dataValidation type="list" allowBlank="1" showErrorMessage="1" sqref="B5:B6" xr:uid="{00000000-0002-0000-0300-000001000000}">
      <formula1>"Spoofing ,Tampering,Repudiation,Information Disclosure,Denial of Service,Elevation of Privilage"</formula1>
    </dataValidation>
    <dataValidation type="list" allowBlank="1" showErrorMessage="1" sqref="L5:L6" xr:uid="{00000000-0002-0000-0300-000002000000}">
      <formula1>"Unchanged,Changed"</formula1>
    </dataValidation>
    <dataValidation type="list" allowBlank="1" showErrorMessage="1" sqref="F5:F6" xr:uid="{00000000-0002-0000-0300-000003000000}">
      <formula1>"Low,High"</formula1>
    </dataValidation>
    <dataValidation type="list" allowBlank="1" showErrorMessage="1" sqref="D5:D6" xr:uid="{00000000-0002-0000-0300-000004000000}">
      <formula1>"Network,Adjacent Network,Local,Physical"</formula1>
    </dataValidation>
    <dataValidation type="list" allowBlank="1" showErrorMessage="1" sqref="A5:A6" xr:uid="{00000000-0002-0000-03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6" xr:uid="{00000000-0002-0000-0300-000006000000}">
      <formula1>"None,Required"</formula1>
    </dataValidation>
    <dataValidation type="list" allowBlank="1" showErrorMessage="1" sqref="H5:H6" xr:uid="{00000000-0002-0000-0300-000007000000}">
      <formula1>"None,Low,High"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27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56</v>
      </c>
      <c r="B5" s="17" t="s">
        <v>63</v>
      </c>
      <c r="C5" s="28" t="s">
        <v>64</v>
      </c>
      <c r="D5" s="17" t="s">
        <v>38</v>
      </c>
      <c r="E5" s="29">
        <f t="shared" ref="E5:E10" si="0">IF(D5="Network",0.85,IF(D5="Adjacent Network",0.62,IF(D5="Local",0.55,IF(D5="Physical",0.2,0))))</f>
        <v>0.85</v>
      </c>
      <c r="F5" s="17" t="s">
        <v>39</v>
      </c>
      <c r="G5" s="29">
        <f>IF(F5="Low",0.77,IF(F5="High",0.44,0))</f>
        <v>0.44</v>
      </c>
      <c r="H5" s="17" t="s">
        <v>47</v>
      </c>
      <c r="I5" s="29">
        <f t="shared" ref="I5:I10" si="1">IF(H5="None",0.85,IF(AND(H5="Low",L5="Unchanged"),0.62,IF(AND(H5="Low",L5="Changed"),0.68,IF(AND(H5="High",L5="Changed"),0.5,IF(AND(H5="High",L5="Unchanged"),0.27,0)))))</f>
        <v>0.68</v>
      </c>
      <c r="J5" s="17" t="s">
        <v>40</v>
      </c>
      <c r="K5" s="29">
        <f t="shared" ref="K5:K10" si="2">IF(J5="Required",0.62,IF(J5="None",0.85,0))</f>
        <v>0.62</v>
      </c>
      <c r="L5" s="17" t="s">
        <v>41</v>
      </c>
      <c r="M5" s="29">
        <f t="shared" ref="M5:M10" si="3">IF(L5="Changed",7.52,IF(L5="Unchanged",6.42,0))</f>
        <v>7.52</v>
      </c>
      <c r="N5" s="17" t="s">
        <v>39</v>
      </c>
      <c r="O5" s="17">
        <f t="shared" ref="O5:O10" si="4">IF(N5="High",0.56,IF(N5="Low",0.22,IF(N5="None",0,0)))</f>
        <v>0.56000000000000005</v>
      </c>
      <c r="P5" s="17" t="s">
        <v>42</v>
      </c>
      <c r="Q5" s="17">
        <f t="shared" ref="Q5:Q10" si="5">IF(P5="High",0.56,IF(P5="Low",0.22,IF(P5="None",0,0)))</f>
        <v>0</v>
      </c>
      <c r="R5" s="17" t="s">
        <v>42</v>
      </c>
      <c r="S5" s="17">
        <f t="shared" ref="S5:S10" si="6">IF(R5="High",0.56,IF(R5="Low",0.22,IF(R5="None",0,0)))</f>
        <v>0</v>
      </c>
      <c r="T5" s="20">
        <f t="shared" ref="T5:T10" si="7">IF(V5&lt;=0,0,IF(L5="Unchanged",MIN(W5+V5,10),MIN((W5+V5)*1.08,10)))</f>
        <v>5.7120355715551225</v>
      </c>
      <c r="U5" s="21">
        <f t="shared" ref="U5:U10" si="8">(1-((1-O5)*(1-Q5)*(1-S5)))</f>
        <v>0.56000000000000005</v>
      </c>
      <c r="V5" s="22">
        <f t="shared" ref="V5:V10" si="9">IF(L5="Unchanged",M5*U5,M5*(U5-0.029)-3.25*POWER(U5-0.02,15))</f>
        <v>3.9928053775140029</v>
      </c>
      <c r="W5" s="22">
        <f t="shared" ref="W5:W10" si="10">8.22*E5*G5*I5*K5</f>
        <v>1.2961164479999998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56</v>
      </c>
      <c r="B6" s="17" t="s">
        <v>57</v>
      </c>
      <c r="C6" s="28" t="s">
        <v>58</v>
      </c>
      <c r="D6" s="17" t="s">
        <v>38</v>
      </c>
      <c r="E6" s="29">
        <f t="shared" si="0"/>
        <v>0.85</v>
      </c>
      <c r="F6" s="17" t="s">
        <v>39</v>
      </c>
      <c r="G6" s="29">
        <f>IF(F6="High",0.44,IF(F6="Low",0.77,0))</f>
        <v>0.44</v>
      </c>
      <c r="H6" s="17" t="s">
        <v>42</v>
      </c>
      <c r="I6" s="29">
        <f t="shared" si="1"/>
        <v>0.85</v>
      </c>
      <c r="J6" s="17" t="s">
        <v>40</v>
      </c>
      <c r="K6" s="29">
        <f t="shared" si="2"/>
        <v>0.62</v>
      </c>
      <c r="L6" s="17" t="s">
        <v>59</v>
      </c>
      <c r="M6" s="29">
        <f t="shared" si="3"/>
        <v>6.42</v>
      </c>
      <c r="N6" s="17" t="s">
        <v>42</v>
      </c>
      <c r="O6" s="17">
        <f t="shared" si="4"/>
        <v>0</v>
      </c>
      <c r="P6" s="17" t="s">
        <v>42</v>
      </c>
      <c r="Q6" s="17">
        <f t="shared" si="5"/>
        <v>0</v>
      </c>
      <c r="R6" s="17" t="s">
        <v>39</v>
      </c>
      <c r="S6" s="17">
        <f t="shared" si="6"/>
        <v>0.56000000000000005</v>
      </c>
      <c r="T6" s="20">
        <f t="shared" si="7"/>
        <v>5.2153455600000003</v>
      </c>
      <c r="U6" s="21">
        <f t="shared" si="8"/>
        <v>0.56000000000000005</v>
      </c>
      <c r="V6" s="22">
        <f t="shared" si="9"/>
        <v>3.5952000000000002</v>
      </c>
      <c r="W6" s="22">
        <f t="shared" si="10"/>
        <v>1.6201455599999999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>
      <c r="A7" s="17" t="s">
        <v>50</v>
      </c>
      <c r="B7" s="19" t="s">
        <v>36</v>
      </c>
      <c r="C7" s="27" t="s">
        <v>96</v>
      </c>
      <c r="D7" s="19" t="s">
        <v>38</v>
      </c>
      <c r="E7" s="18">
        <f t="shared" si="0"/>
        <v>0.85</v>
      </c>
      <c r="F7" s="19" t="s">
        <v>47</v>
      </c>
      <c r="G7" s="18">
        <f t="shared" ref="G7:G10" si="11">IF(F7="Low",0.77,IF(F7="High",0.44,0))</f>
        <v>0.77</v>
      </c>
      <c r="H7" s="19" t="s">
        <v>42</v>
      </c>
      <c r="I7" s="18">
        <f t="shared" si="1"/>
        <v>0.85</v>
      </c>
      <c r="J7" s="19" t="s">
        <v>42</v>
      </c>
      <c r="K7" s="18">
        <f t="shared" si="2"/>
        <v>0.85</v>
      </c>
      <c r="L7" s="19" t="s">
        <v>59</v>
      </c>
      <c r="M7" s="18">
        <f t="shared" si="3"/>
        <v>6.42</v>
      </c>
      <c r="N7" s="19" t="s">
        <v>39</v>
      </c>
      <c r="O7" s="19">
        <f t="shared" si="4"/>
        <v>0.56000000000000005</v>
      </c>
      <c r="P7" s="19" t="s">
        <v>39</v>
      </c>
      <c r="Q7" s="19">
        <f t="shared" si="5"/>
        <v>0.56000000000000005</v>
      </c>
      <c r="R7" s="19" t="s">
        <v>42</v>
      </c>
      <c r="S7" s="19">
        <f t="shared" si="6"/>
        <v>0</v>
      </c>
      <c r="T7" s="20">
        <f t="shared" si="7"/>
        <v>9.0641307750000006</v>
      </c>
      <c r="U7" s="21">
        <f t="shared" si="8"/>
        <v>0.80640000000000001</v>
      </c>
      <c r="V7" s="22">
        <f t="shared" si="9"/>
        <v>5.1770880000000004</v>
      </c>
      <c r="W7" s="22">
        <f t="shared" si="10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104</v>
      </c>
      <c r="B8" s="19" t="s">
        <v>51</v>
      </c>
      <c r="C8" s="19" t="s">
        <v>105</v>
      </c>
      <c r="D8" s="19" t="s">
        <v>38</v>
      </c>
      <c r="E8" s="18">
        <f t="shared" si="0"/>
        <v>0.85</v>
      </c>
      <c r="F8" s="19" t="s">
        <v>47</v>
      </c>
      <c r="G8" s="18">
        <f t="shared" si="11"/>
        <v>0.77</v>
      </c>
      <c r="H8" s="19" t="s">
        <v>47</v>
      </c>
      <c r="I8" s="18">
        <f t="shared" si="1"/>
        <v>0.62</v>
      </c>
      <c r="J8" s="19" t="s">
        <v>42</v>
      </c>
      <c r="K8" s="18">
        <f t="shared" si="2"/>
        <v>0.85</v>
      </c>
      <c r="L8" s="19" t="s">
        <v>59</v>
      </c>
      <c r="M8" s="18">
        <f t="shared" si="3"/>
        <v>6.42</v>
      </c>
      <c r="N8" s="19" t="s">
        <v>39</v>
      </c>
      <c r="O8" s="19">
        <f t="shared" si="4"/>
        <v>0.56000000000000005</v>
      </c>
      <c r="P8" s="19" t="s">
        <v>39</v>
      </c>
      <c r="Q8" s="19">
        <f t="shared" si="5"/>
        <v>0.56000000000000005</v>
      </c>
      <c r="R8" s="19" t="s">
        <v>42</v>
      </c>
      <c r="S8" s="19">
        <f t="shared" si="6"/>
        <v>0</v>
      </c>
      <c r="T8" s="20">
        <f t="shared" si="7"/>
        <v>8.0123427300000003</v>
      </c>
      <c r="U8" s="21">
        <f t="shared" si="8"/>
        <v>0.80640000000000001</v>
      </c>
      <c r="V8" s="22">
        <f t="shared" si="9"/>
        <v>5.1770880000000004</v>
      </c>
      <c r="W8" s="22">
        <f t="shared" si="10"/>
        <v>2.8352547299999999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85</v>
      </c>
      <c r="B9" s="19" t="s">
        <v>44</v>
      </c>
      <c r="C9" s="28" t="s">
        <v>88</v>
      </c>
      <c r="D9" s="19" t="s">
        <v>38</v>
      </c>
      <c r="E9" s="18">
        <f t="shared" si="0"/>
        <v>0.85</v>
      </c>
      <c r="F9" s="19" t="s">
        <v>47</v>
      </c>
      <c r="G9" s="18">
        <f t="shared" si="11"/>
        <v>0.77</v>
      </c>
      <c r="H9" s="19" t="s">
        <v>42</v>
      </c>
      <c r="I9" s="18">
        <f t="shared" si="1"/>
        <v>0.85</v>
      </c>
      <c r="J9" s="19" t="s">
        <v>42</v>
      </c>
      <c r="K9" s="18">
        <f t="shared" si="2"/>
        <v>0.85</v>
      </c>
      <c r="L9" s="19" t="s">
        <v>59</v>
      </c>
      <c r="M9" s="18">
        <f t="shared" si="3"/>
        <v>6.42</v>
      </c>
      <c r="N9" s="19" t="s">
        <v>39</v>
      </c>
      <c r="O9" s="19">
        <f t="shared" si="4"/>
        <v>0.56000000000000005</v>
      </c>
      <c r="P9" s="19" t="s">
        <v>39</v>
      </c>
      <c r="Q9" s="19">
        <f t="shared" si="5"/>
        <v>0.56000000000000005</v>
      </c>
      <c r="R9" s="19" t="s">
        <v>39</v>
      </c>
      <c r="S9" s="19">
        <f t="shared" si="6"/>
        <v>0.56000000000000005</v>
      </c>
      <c r="T9" s="20">
        <f t="shared" si="7"/>
        <v>9.760161495000002</v>
      </c>
      <c r="U9" s="21">
        <f t="shared" si="8"/>
        <v>0.91481600000000007</v>
      </c>
      <c r="V9" s="22">
        <f t="shared" si="9"/>
        <v>5.8731187200000008</v>
      </c>
      <c r="W9" s="22">
        <f t="shared" si="10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90</v>
      </c>
      <c r="B10" s="19" t="s">
        <v>44</v>
      </c>
      <c r="C10" s="27" t="s">
        <v>91</v>
      </c>
      <c r="D10" s="19" t="s">
        <v>38</v>
      </c>
      <c r="E10" s="18">
        <f t="shared" si="0"/>
        <v>0.85</v>
      </c>
      <c r="F10" s="19" t="s">
        <v>47</v>
      </c>
      <c r="G10" s="18">
        <f t="shared" si="11"/>
        <v>0.77</v>
      </c>
      <c r="H10" s="19" t="s">
        <v>42</v>
      </c>
      <c r="I10" s="18">
        <f t="shared" si="1"/>
        <v>0.85</v>
      </c>
      <c r="J10" s="19" t="s">
        <v>42</v>
      </c>
      <c r="K10" s="18">
        <f t="shared" si="2"/>
        <v>0.85</v>
      </c>
      <c r="L10" s="19" t="s">
        <v>59</v>
      </c>
      <c r="M10" s="18">
        <f t="shared" si="3"/>
        <v>6.42</v>
      </c>
      <c r="N10" s="19" t="s">
        <v>47</v>
      </c>
      <c r="O10" s="19">
        <f t="shared" si="4"/>
        <v>0.22</v>
      </c>
      <c r="P10" s="19" t="s">
        <v>39</v>
      </c>
      <c r="Q10" s="19">
        <f t="shared" si="5"/>
        <v>0.56000000000000005</v>
      </c>
      <c r="R10" s="19" t="s">
        <v>39</v>
      </c>
      <c r="S10" s="19">
        <f t="shared" si="6"/>
        <v>0.56000000000000005</v>
      </c>
      <c r="T10" s="20">
        <f t="shared" si="7"/>
        <v>9.3375714150000011</v>
      </c>
      <c r="U10" s="21">
        <f t="shared" si="8"/>
        <v>0.84899200000000008</v>
      </c>
      <c r="V10" s="22">
        <f t="shared" si="9"/>
        <v>5.4505286400000008</v>
      </c>
      <c r="W10" s="22">
        <f t="shared" si="10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>
        <f>SUM(T5:T10)</f>
        <v>47.101587546555123</v>
      </c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6" xr:uid="{00000000-0002-0000-04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0 P5:P10 R5:R10" xr:uid="{00000000-0002-0000-0400-000001000000}">
      <formula1>"High,Low,None"</formula1>
    </dataValidation>
    <dataValidation type="list" allowBlank="1" showErrorMessage="1" sqref="B5:B10" xr:uid="{00000000-0002-0000-0400-000002000000}">
      <formula1>"Spoofing ,Tampering,Repudiation,Information Disclosure,Denial of Service,Elevation of Privilage"</formula1>
    </dataValidation>
    <dataValidation type="list" allowBlank="1" showErrorMessage="1" sqref="L5:L10" xr:uid="{00000000-0002-0000-0400-000003000000}">
      <formula1>"Unchanged,Changed"</formula1>
    </dataValidation>
    <dataValidation type="list" allowBlank="1" showErrorMessage="1" sqref="F5:F10" xr:uid="{00000000-0002-0000-0400-000004000000}">
      <formula1>"Low,High"</formula1>
    </dataValidation>
    <dataValidation type="list" allowBlank="1" showErrorMessage="1" sqref="D5:D10" xr:uid="{00000000-0002-0000-0400-000005000000}">
      <formula1>"Network,Adjacent Network,Local,Physical"</formula1>
    </dataValidation>
    <dataValidation type="list" allowBlank="1" showErrorMessage="1" sqref="A7:A10" xr:uid="{00000000-0002-0000-04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0" xr:uid="{00000000-0002-0000-0400-000007000000}">
      <formula1>"None,Required"</formula1>
    </dataValidation>
    <dataValidation type="list" allowBlank="1" showErrorMessage="1" sqref="A5" xr:uid="{00000000-0002-0000-0400-000008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0" xr:uid="{00000000-0002-0000-0400-000009000000}">
      <formula1>"None,Low,High"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6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44</v>
      </c>
      <c r="C5" s="28" t="s">
        <v>88</v>
      </c>
      <c r="D5" s="19" t="s">
        <v>38</v>
      </c>
      <c r="E5" s="18">
        <f t="shared" ref="E5:E18" si="0">IF(D5="Network",0.85,IF(D5="Adjacent Network",0.62,IF(D5="Local",0.55,IF(D5="Physical",0.2,0))))</f>
        <v>0.85</v>
      </c>
      <c r="F5" s="19" t="s">
        <v>47</v>
      </c>
      <c r="G5" s="18">
        <f t="shared" ref="G5:G10" si="1">IF(F5="Low",0.77,IF(F5="High",0.44,0))</f>
        <v>0.77</v>
      </c>
      <c r="H5" s="19" t="s">
        <v>42</v>
      </c>
      <c r="I5" s="18">
        <f t="shared" ref="I5:I18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8" si="3">IF(J5="Required",0.62,IF(J5="None",0.85,0))</f>
        <v>0.85</v>
      </c>
      <c r="L5" s="19" t="s">
        <v>59</v>
      </c>
      <c r="M5" s="18">
        <f t="shared" ref="M5:M18" si="4">IF(L5="Changed",7.52,IF(L5="Unchanged",6.42,0))</f>
        <v>6.42</v>
      </c>
      <c r="N5" s="19" t="s">
        <v>39</v>
      </c>
      <c r="O5" s="19">
        <f t="shared" ref="O5:O18" si="5">IF(N5="High",0.56,IF(N5="Low",0.22,IF(N5="None",0,0)))</f>
        <v>0.56000000000000005</v>
      </c>
      <c r="P5" s="19" t="s">
        <v>39</v>
      </c>
      <c r="Q5" s="19">
        <f t="shared" ref="Q5:Q18" si="6">IF(P5="High",0.56,IF(P5="Low",0.22,IF(P5="None",0,0)))</f>
        <v>0.56000000000000005</v>
      </c>
      <c r="R5" s="19" t="s">
        <v>39</v>
      </c>
      <c r="S5" s="19">
        <f t="shared" ref="S5:S18" si="7">IF(R5="High",0.56,IF(R5="Low",0.22,IF(R5="None",0,0)))</f>
        <v>0.56000000000000005</v>
      </c>
      <c r="T5" s="20">
        <f t="shared" ref="T5:T18" si="8">IF(V5&lt;=0,0,IF(L5="Unchanged",MIN(W5+V5,10),MIN((W5+V5)*1.08,10)))</f>
        <v>9.760161495000002</v>
      </c>
      <c r="U5" s="21">
        <f t="shared" ref="U5:U18" si="9">(1-((1-O5)*(1-Q5)*(1-S5)))</f>
        <v>0.91481600000000007</v>
      </c>
      <c r="V5" s="22">
        <f t="shared" ref="V5:V18" si="10">IF(L5="Unchanged",M5*U5,M5*(U5-0.029)-3.25*POWER(U5-0.02,15))</f>
        <v>5.8731187200000008</v>
      </c>
      <c r="W5" s="22">
        <f t="shared" ref="W5:W18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43</v>
      </c>
      <c r="B6" s="19" t="s">
        <v>44</v>
      </c>
      <c r="C6" s="27" t="s">
        <v>95</v>
      </c>
      <c r="D6" s="19" t="s">
        <v>46</v>
      </c>
      <c r="E6" s="18">
        <f t="shared" si="0"/>
        <v>0.62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47</v>
      </c>
      <c r="O6" s="19">
        <f t="shared" si="5"/>
        <v>0.22</v>
      </c>
      <c r="P6" s="19" t="s">
        <v>47</v>
      </c>
      <c r="Q6" s="19">
        <f t="shared" si="6"/>
        <v>0.22</v>
      </c>
      <c r="R6" s="19" t="s">
        <v>42</v>
      </c>
      <c r="S6" s="19">
        <f t="shared" si="7"/>
        <v>0</v>
      </c>
      <c r="T6" s="20">
        <f t="shared" si="8"/>
        <v>5.1784045198243218</v>
      </c>
      <c r="U6" s="21">
        <f t="shared" si="9"/>
        <v>0.39159999999999995</v>
      </c>
      <c r="V6" s="22">
        <f t="shared" si="10"/>
        <v>2.7267508438373347</v>
      </c>
      <c r="W6" s="22">
        <f t="shared" si="11"/>
        <v>2.0680681560000003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50</v>
      </c>
      <c r="B7" s="19" t="s">
        <v>51</v>
      </c>
      <c r="C7" s="27" t="s">
        <v>52</v>
      </c>
      <c r="D7" s="19" t="s">
        <v>38</v>
      </c>
      <c r="E7" s="18">
        <f t="shared" si="0"/>
        <v>0.85</v>
      </c>
      <c r="F7" s="19" t="s">
        <v>39</v>
      </c>
      <c r="G7" s="18">
        <f t="shared" si="1"/>
        <v>0.44</v>
      </c>
      <c r="H7" s="19" t="s">
        <v>47</v>
      </c>
      <c r="I7" s="18">
        <f t="shared" si="2"/>
        <v>0.68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7.6180472090586866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1.2961164479999998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.75" customHeight="1">
      <c r="A8" s="17" t="s">
        <v>60</v>
      </c>
      <c r="B8" s="17" t="s">
        <v>36</v>
      </c>
      <c r="C8" s="82" t="s">
        <v>61</v>
      </c>
      <c r="D8" s="17" t="s">
        <v>38</v>
      </c>
      <c r="E8" s="29">
        <f t="shared" si="0"/>
        <v>0.85</v>
      </c>
      <c r="F8" s="17" t="s">
        <v>47</v>
      </c>
      <c r="G8" s="29">
        <f t="shared" si="1"/>
        <v>0.77</v>
      </c>
      <c r="H8" s="17" t="s">
        <v>47</v>
      </c>
      <c r="I8" s="29">
        <f t="shared" si="2"/>
        <v>0.68</v>
      </c>
      <c r="J8" s="17" t="s">
        <v>40</v>
      </c>
      <c r="K8" s="29">
        <f t="shared" si="3"/>
        <v>0.62</v>
      </c>
      <c r="L8" s="17" t="s">
        <v>41</v>
      </c>
      <c r="M8" s="29">
        <f t="shared" si="4"/>
        <v>7.52</v>
      </c>
      <c r="N8" s="17" t="s">
        <v>39</v>
      </c>
      <c r="O8" s="17">
        <f t="shared" si="5"/>
        <v>0.56000000000000005</v>
      </c>
      <c r="P8" s="17" t="s">
        <v>39</v>
      </c>
      <c r="Q8" s="17">
        <f t="shared" si="6"/>
        <v>0.56000000000000005</v>
      </c>
      <c r="R8" s="17" t="s">
        <v>42</v>
      </c>
      <c r="S8" s="17">
        <f t="shared" si="7"/>
        <v>0</v>
      </c>
      <c r="T8" s="20">
        <f t="shared" si="8"/>
        <v>8.6679015319386874</v>
      </c>
      <c r="U8" s="21">
        <f t="shared" si="9"/>
        <v>0.80640000000000001</v>
      </c>
      <c r="V8" s="22">
        <f t="shared" si="10"/>
        <v>5.7576309677950803</v>
      </c>
      <c r="W8" s="22">
        <f t="shared" si="11"/>
        <v>2.2682037840000002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 ht="15.75" customHeight="1">
      <c r="A9" s="17" t="s">
        <v>62</v>
      </c>
      <c r="B9" s="17" t="s">
        <v>36</v>
      </c>
      <c r="C9" s="76"/>
      <c r="D9" s="17" t="s">
        <v>38</v>
      </c>
      <c r="E9" s="29">
        <f t="shared" si="0"/>
        <v>0.85</v>
      </c>
      <c r="F9" s="17" t="s">
        <v>47</v>
      </c>
      <c r="G9" s="29">
        <f t="shared" si="1"/>
        <v>0.77</v>
      </c>
      <c r="H9" s="17" t="s">
        <v>47</v>
      </c>
      <c r="I9" s="29">
        <f t="shared" si="2"/>
        <v>0.68</v>
      </c>
      <c r="J9" s="17" t="s">
        <v>40</v>
      </c>
      <c r="K9" s="29">
        <f t="shared" si="3"/>
        <v>0.62</v>
      </c>
      <c r="L9" s="17" t="s">
        <v>41</v>
      </c>
      <c r="M9" s="29">
        <f t="shared" si="4"/>
        <v>7.52</v>
      </c>
      <c r="N9" s="17" t="s">
        <v>39</v>
      </c>
      <c r="O9" s="17">
        <f t="shared" si="5"/>
        <v>0.56000000000000005</v>
      </c>
      <c r="P9" s="17" t="s">
        <v>39</v>
      </c>
      <c r="Q9" s="17">
        <f t="shared" si="6"/>
        <v>0.56000000000000005</v>
      </c>
      <c r="R9" s="17" t="s">
        <v>42</v>
      </c>
      <c r="S9" s="17">
        <f t="shared" si="7"/>
        <v>0</v>
      </c>
      <c r="T9" s="20">
        <f t="shared" si="8"/>
        <v>8.6679015319386874</v>
      </c>
      <c r="U9" s="21">
        <f t="shared" si="9"/>
        <v>0.80640000000000001</v>
      </c>
      <c r="V9" s="22">
        <f t="shared" si="10"/>
        <v>5.7576309677950803</v>
      </c>
      <c r="W9" s="22">
        <f t="shared" si="11"/>
        <v>2.2682037840000002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>
      <c r="A10" s="17" t="s">
        <v>43</v>
      </c>
      <c r="B10" s="17" t="s">
        <v>73</v>
      </c>
      <c r="C10" s="28" t="s">
        <v>74</v>
      </c>
      <c r="D10" s="17" t="s">
        <v>38</v>
      </c>
      <c r="E10" s="29">
        <f t="shared" si="0"/>
        <v>0.85</v>
      </c>
      <c r="F10" s="17" t="s">
        <v>39</v>
      </c>
      <c r="G10" s="29">
        <f t="shared" si="1"/>
        <v>0.44</v>
      </c>
      <c r="H10" s="17" t="s">
        <v>42</v>
      </c>
      <c r="I10" s="29">
        <f t="shared" si="2"/>
        <v>0.85</v>
      </c>
      <c r="J10" s="17" t="s">
        <v>42</v>
      </c>
      <c r="K10" s="29">
        <f t="shared" si="3"/>
        <v>0.85</v>
      </c>
      <c r="L10" s="17" t="s">
        <v>59</v>
      </c>
      <c r="M10" s="29">
        <f t="shared" si="4"/>
        <v>6.42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5.8163672999999996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2.2211672999999998</v>
      </c>
      <c r="X10" s="29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 ht="15.75" customHeight="1">
      <c r="A11" s="17" t="s">
        <v>56</v>
      </c>
      <c r="B11" s="17" t="s">
        <v>57</v>
      </c>
      <c r="C11" s="28" t="s">
        <v>58</v>
      </c>
      <c r="D11" s="17" t="s">
        <v>38</v>
      </c>
      <c r="E11" s="29">
        <f t="shared" si="0"/>
        <v>0.85</v>
      </c>
      <c r="F11" s="17" t="s">
        <v>39</v>
      </c>
      <c r="G11" s="29">
        <f>IF(F11="High",0.44,IF(F11="Low",0.77,0))</f>
        <v>0.44</v>
      </c>
      <c r="H11" s="17" t="s">
        <v>42</v>
      </c>
      <c r="I11" s="29">
        <f t="shared" si="2"/>
        <v>0.85</v>
      </c>
      <c r="J11" s="17" t="s">
        <v>40</v>
      </c>
      <c r="K11" s="29">
        <f t="shared" si="3"/>
        <v>0.62</v>
      </c>
      <c r="L11" s="17" t="s">
        <v>59</v>
      </c>
      <c r="M11" s="29">
        <f t="shared" si="4"/>
        <v>6.42</v>
      </c>
      <c r="N11" s="17" t="s">
        <v>42</v>
      </c>
      <c r="O11" s="17">
        <f t="shared" si="5"/>
        <v>0</v>
      </c>
      <c r="P11" s="17" t="s">
        <v>42</v>
      </c>
      <c r="Q11" s="17">
        <f t="shared" si="6"/>
        <v>0</v>
      </c>
      <c r="R11" s="17" t="s">
        <v>39</v>
      </c>
      <c r="S11" s="17">
        <f t="shared" si="7"/>
        <v>0.56000000000000005</v>
      </c>
      <c r="T11" s="20">
        <f t="shared" si="8"/>
        <v>5.2153455600000003</v>
      </c>
      <c r="U11" s="21">
        <f t="shared" si="9"/>
        <v>0.56000000000000005</v>
      </c>
      <c r="V11" s="22">
        <f t="shared" si="10"/>
        <v>3.5952000000000002</v>
      </c>
      <c r="W11" s="22">
        <f t="shared" si="11"/>
        <v>1.6201455599999999</v>
      </c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30"/>
    </row>
    <row r="12" spans="1:34">
      <c r="A12" s="17" t="s">
        <v>104</v>
      </c>
      <c r="B12" s="19" t="s">
        <v>51</v>
      </c>
      <c r="C12" s="19" t="s">
        <v>105</v>
      </c>
      <c r="D12" s="19" t="s">
        <v>38</v>
      </c>
      <c r="E12" s="18">
        <f t="shared" si="0"/>
        <v>0.85</v>
      </c>
      <c r="F12" s="19" t="s">
        <v>47</v>
      </c>
      <c r="G12" s="18">
        <f t="shared" ref="G12:G14" si="12">IF(F12="Low",0.77,IF(F12="High",0.44,0))</f>
        <v>0.77</v>
      </c>
      <c r="H12" s="19" t="s">
        <v>47</v>
      </c>
      <c r="I12" s="18">
        <f t="shared" si="2"/>
        <v>0.62</v>
      </c>
      <c r="J12" s="19" t="s">
        <v>42</v>
      </c>
      <c r="K12" s="18">
        <f t="shared" si="3"/>
        <v>0.85</v>
      </c>
      <c r="L12" s="19" t="s">
        <v>59</v>
      </c>
      <c r="M12" s="18">
        <f t="shared" si="4"/>
        <v>6.42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8.0123427300000003</v>
      </c>
      <c r="U12" s="21">
        <f t="shared" si="9"/>
        <v>0.80640000000000001</v>
      </c>
      <c r="V12" s="22">
        <f t="shared" si="10"/>
        <v>5.1770880000000004</v>
      </c>
      <c r="W12" s="22">
        <f t="shared" si="11"/>
        <v>2.8352547299999999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.75" customHeight="1">
      <c r="A13" s="17" t="s">
        <v>50</v>
      </c>
      <c r="B13" s="17" t="s">
        <v>44</v>
      </c>
      <c r="C13" s="28" t="s">
        <v>55</v>
      </c>
      <c r="D13" s="17" t="s">
        <v>38</v>
      </c>
      <c r="E13" s="29">
        <f t="shared" si="0"/>
        <v>0.85</v>
      </c>
      <c r="F13" s="17" t="s">
        <v>39</v>
      </c>
      <c r="G13" s="29">
        <f t="shared" si="12"/>
        <v>0.44</v>
      </c>
      <c r="H13" s="17" t="s">
        <v>47</v>
      </c>
      <c r="I13" s="29">
        <f t="shared" si="2"/>
        <v>0.68</v>
      </c>
      <c r="J13" s="17" t="s">
        <v>40</v>
      </c>
      <c r="K13" s="29">
        <f t="shared" si="3"/>
        <v>0.62</v>
      </c>
      <c r="L13" s="17" t="s">
        <v>41</v>
      </c>
      <c r="M13" s="29">
        <f t="shared" si="4"/>
        <v>7.52</v>
      </c>
      <c r="N13" s="17" t="s">
        <v>39</v>
      </c>
      <c r="O13" s="17">
        <f t="shared" si="5"/>
        <v>0.56000000000000005</v>
      </c>
      <c r="P13" s="17" t="s">
        <v>42</v>
      </c>
      <c r="Q13" s="17">
        <f t="shared" si="6"/>
        <v>0</v>
      </c>
      <c r="R13" s="17" t="s">
        <v>42</v>
      </c>
      <c r="S13" s="17">
        <f t="shared" si="7"/>
        <v>0</v>
      </c>
      <c r="T13" s="20">
        <f t="shared" si="8"/>
        <v>5.7120355715551225</v>
      </c>
      <c r="U13" s="21">
        <f t="shared" si="9"/>
        <v>0.56000000000000005</v>
      </c>
      <c r="V13" s="22">
        <f t="shared" si="10"/>
        <v>3.9928053775140029</v>
      </c>
      <c r="W13" s="22">
        <f t="shared" si="11"/>
        <v>1.2961164479999998</v>
      </c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30"/>
    </row>
    <row r="14" spans="1:34">
      <c r="A14" s="17" t="s">
        <v>43</v>
      </c>
      <c r="B14" s="19" t="s">
        <v>44</v>
      </c>
      <c r="C14" s="27" t="s">
        <v>45</v>
      </c>
      <c r="D14" s="19" t="s">
        <v>46</v>
      </c>
      <c r="E14" s="18">
        <f t="shared" si="0"/>
        <v>0.62</v>
      </c>
      <c r="F14" s="19" t="s">
        <v>39</v>
      </c>
      <c r="G14" s="18">
        <f t="shared" si="12"/>
        <v>0.44</v>
      </c>
      <c r="H14" s="19" t="s">
        <v>47</v>
      </c>
      <c r="I14" s="18">
        <f t="shared" si="2"/>
        <v>0.68</v>
      </c>
      <c r="J14" s="19" t="s">
        <v>40</v>
      </c>
      <c r="K14" s="18">
        <f t="shared" si="3"/>
        <v>0.62</v>
      </c>
      <c r="L14" s="19" t="s">
        <v>41</v>
      </c>
      <c r="M14" s="18">
        <f t="shared" si="4"/>
        <v>7.52</v>
      </c>
      <c r="N14" s="19" t="s">
        <v>39</v>
      </c>
      <c r="O14" s="19">
        <f t="shared" si="5"/>
        <v>0.56000000000000005</v>
      </c>
      <c r="P14" s="19" t="s">
        <v>39</v>
      </c>
      <c r="Q14" s="19">
        <f t="shared" si="6"/>
        <v>0.56000000000000005</v>
      </c>
      <c r="R14" s="19" t="s">
        <v>42</v>
      </c>
      <c r="S14" s="19">
        <f t="shared" si="7"/>
        <v>0</v>
      </c>
      <c r="T14" s="20">
        <f t="shared" si="8"/>
        <v>7.2392762376666875</v>
      </c>
      <c r="U14" s="21">
        <f t="shared" si="9"/>
        <v>0.80640000000000001</v>
      </c>
      <c r="V14" s="22">
        <f t="shared" si="10"/>
        <v>5.7576309677950803</v>
      </c>
      <c r="W14" s="22">
        <f t="shared" si="11"/>
        <v>0.94540258560000001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50</v>
      </c>
      <c r="B15" s="19" t="s">
        <v>36</v>
      </c>
      <c r="C15" s="27" t="s">
        <v>65</v>
      </c>
      <c r="D15" s="19" t="s">
        <v>66</v>
      </c>
      <c r="E15" s="18">
        <f t="shared" si="0"/>
        <v>0.55000000000000004</v>
      </c>
      <c r="F15" s="19" t="s">
        <v>39</v>
      </c>
      <c r="G15" s="18">
        <f t="shared" ref="G15:G16" si="13">IF(F15="High",0.44,IF(F15="Low",0.77,0))</f>
        <v>0.44</v>
      </c>
      <c r="H15" s="19" t="s">
        <v>39</v>
      </c>
      <c r="I15" s="18">
        <f t="shared" si="2"/>
        <v>0.5</v>
      </c>
      <c r="J15" s="19" t="s">
        <v>40</v>
      </c>
      <c r="K15" s="18">
        <f t="shared" si="3"/>
        <v>0.62</v>
      </c>
      <c r="L15" s="19" t="s">
        <v>41</v>
      </c>
      <c r="M15" s="18">
        <f t="shared" si="4"/>
        <v>7.52</v>
      </c>
      <c r="N15" s="19" t="s">
        <v>39</v>
      </c>
      <c r="O15" s="19">
        <f t="shared" si="5"/>
        <v>0.56000000000000005</v>
      </c>
      <c r="P15" s="19" t="s">
        <v>39</v>
      </c>
      <c r="Q15" s="19">
        <f t="shared" si="6"/>
        <v>0.56000000000000005</v>
      </c>
      <c r="R15" s="19" t="s">
        <v>39</v>
      </c>
      <c r="S15" s="19">
        <f t="shared" si="7"/>
        <v>0.56000000000000005</v>
      </c>
      <c r="T15" s="20">
        <f t="shared" si="8"/>
        <v>7.1975464828680806</v>
      </c>
      <c r="U15" s="21">
        <f t="shared" si="9"/>
        <v>0.91481600000000007</v>
      </c>
      <c r="V15" s="22">
        <f t="shared" si="10"/>
        <v>6.0477304915445185</v>
      </c>
      <c r="W15" s="22">
        <f t="shared" si="11"/>
        <v>0.61666440000000011</v>
      </c>
      <c r="X15" s="18"/>
      <c r="Y15" s="18"/>
      <c r="Z15" s="19" t="s">
        <v>67</v>
      </c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48</v>
      </c>
      <c r="B16" s="17" t="s">
        <v>44</v>
      </c>
      <c r="C16" s="28" t="s">
        <v>82</v>
      </c>
      <c r="D16" s="19" t="s">
        <v>38</v>
      </c>
      <c r="E16" s="18">
        <f t="shared" si="0"/>
        <v>0.85</v>
      </c>
      <c r="F16" s="19" t="s">
        <v>47</v>
      </c>
      <c r="G16" s="18">
        <f t="shared" si="13"/>
        <v>0.77</v>
      </c>
      <c r="H16" s="19" t="s">
        <v>42</v>
      </c>
      <c r="I16" s="18">
        <f t="shared" si="2"/>
        <v>0.85</v>
      </c>
      <c r="J16" s="19" t="s">
        <v>42</v>
      </c>
      <c r="K16" s="18">
        <f t="shared" si="3"/>
        <v>0.85</v>
      </c>
      <c r="L16" s="19" t="s">
        <v>59</v>
      </c>
      <c r="M16" s="18">
        <f t="shared" si="4"/>
        <v>6.42</v>
      </c>
      <c r="N16" s="19" t="s">
        <v>39</v>
      </c>
      <c r="O16" s="19">
        <f t="shared" si="5"/>
        <v>0.56000000000000005</v>
      </c>
      <c r="P16" s="19" t="s">
        <v>39</v>
      </c>
      <c r="Q16" s="19">
        <f t="shared" si="6"/>
        <v>0.56000000000000005</v>
      </c>
      <c r="R16" s="19" t="s">
        <v>39</v>
      </c>
      <c r="S16" s="19">
        <f t="shared" si="7"/>
        <v>0.56000000000000005</v>
      </c>
      <c r="T16" s="20">
        <f t="shared" si="8"/>
        <v>9.760161495000002</v>
      </c>
      <c r="U16" s="21">
        <f t="shared" si="9"/>
        <v>0.91481600000000007</v>
      </c>
      <c r="V16" s="22">
        <f t="shared" si="10"/>
        <v>5.8731187200000008</v>
      </c>
      <c r="W16" s="22">
        <f t="shared" si="11"/>
        <v>3.8870427750000003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48</v>
      </c>
      <c r="B17" s="19" t="s">
        <v>51</v>
      </c>
      <c r="C17" s="27" t="s">
        <v>79</v>
      </c>
      <c r="D17" s="19" t="s">
        <v>38</v>
      </c>
      <c r="E17" s="18">
        <f t="shared" si="0"/>
        <v>0.85</v>
      </c>
      <c r="F17" s="19" t="s">
        <v>47</v>
      </c>
      <c r="G17" s="18">
        <f t="shared" ref="G17:G18" si="14">IF(F17="Low",0.77,IF(F17="High",0.44,0))</f>
        <v>0.77</v>
      </c>
      <c r="H17" s="19" t="s">
        <v>42</v>
      </c>
      <c r="I17" s="18">
        <f t="shared" si="2"/>
        <v>0.85</v>
      </c>
      <c r="J17" s="19" t="s">
        <v>42</v>
      </c>
      <c r="K17" s="18">
        <f t="shared" si="3"/>
        <v>0.85</v>
      </c>
      <c r="L17" s="19" t="s">
        <v>59</v>
      </c>
      <c r="M17" s="18">
        <f t="shared" si="4"/>
        <v>6.42</v>
      </c>
      <c r="N17" s="19" t="s">
        <v>39</v>
      </c>
      <c r="O17" s="19">
        <f t="shared" si="5"/>
        <v>0.56000000000000005</v>
      </c>
      <c r="P17" s="19" t="s">
        <v>42</v>
      </c>
      <c r="Q17" s="19">
        <f t="shared" si="6"/>
        <v>0</v>
      </c>
      <c r="R17" s="19" t="s">
        <v>42</v>
      </c>
      <c r="S17" s="19">
        <f t="shared" si="7"/>
        <v>0</v>
      </c>
      <c r="T17" s="20">
        <f t="shared" si="8"/>
        <v>7.4822427750000005</v>
      </c>
      <c r="U17" s="21">
        <f t="shared" si="9"/>
        <v>0.56000000000000005</v>
      </c>
      <c r="V17" s="22">
        <f t="shared" si="10"/>
        <v>3.5952000000000002</v>
      </c>
      <c r="W17" s="22">
        <f t="shared" si="11"/>
        <v>3.8870427750000003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.75" customHeight="1">
      <c r="A18" s="17" t="s">
        <v>43</v>
      </c>
      <c r="B18" s="17" t="s">
        <v>63</v>
      </c>
      <c r="C18" s="28" t="s">
        <v>64</v>
      </c>
      <c r="D18" s="17" t="s">
        <v>38</v>
      </c>
      <c r="E18" s="29">
        <f t="shared" si="0"/>
        <v>0.85</v>
      </c>
      <c r="F18" s="17" t="s">
        <v>39</v>
      </c>
      <c r="G18" s="29">
        <f t="shared" si="14"/>
        <v>0.44</v>
      </c>
      <c r="H18" s="17" t="s">
        <v>47</v>
      </c>
      <c r="I18" s="29">
        <f t="shared" si="2"/>
        <v>0.68</v>
      </c>
      <c r="J18" s="17" t="s">
        <v>40</v>
      </c>
      <c r="K18" s="29">
        <f t="shared" si="3"/>
        <v>0.62</v>
      </c>
      <c r="L18" s="17" t="s">
        <v>41</v>
      </c>
      <c r="M18" s="29">
        <f t="shared" si="4"/>
        <v>7.52</v>
      </c>
      <c r="N18" s="17" t="s">
        <v>39</v>
      </c>
      <c r="O18" s="17">
        <f t="shared" si="5"/>
        <v>0.56000000000000005</v>
      </c>
      <c r="P18" s="17" t="s">
        <v>42</v>
      </c>
      <c r="Q18" s="17">
        <f t="shared" si="6"/>
        <v>0</v>
      </c>
      <c r="R18" s="17" t="s">
        <v>42</v>
      </c>
      <c r="S18" s="17">
        <f t="shared" si="7"/>
        <v>0</v>
      </c>
      <c r="T18" s="20">
        <f t="shared" si="8"/>
        <v>5.7120355715551225</v>
      </c>
      <c r="U18" s="21">
        <f t="shared" si="9"/>
        <v>0.56000000000000005</v>
      </c>
      <c r="V18" s="22">
        <f t="shared" si="10"/>
        <v>3.9928053775140029</v>
      </c>
      <c r="W18" s="22">
        <f t="shared" si="11"/>
        <v>1.2961164479999998</v>
      </c>
      <c r="X18" s="29"/>
      <c r="Y18" s="29"/>
      <c r="Z18" s="29"/>
      <c r="AA18" s="29"/>
      <c r="AB18" s="29"/>
      <c r="AC18" s="29"/>
      <c r="AD18" s="29"/>
      <c r="AE18" s="29"/>
      <c r="AF18" s="29"/>
      <c r="AG18" s="30"/>
      <c r="AH18" s="30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>
        <f>SUM(T5:T18)</f>
        <v>102.03977001140541</v>
      </c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8:C9"/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11" xr:uid="{00000000-0002-0000-05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8 P5:P18 R5:R18" xr:uid="{00000000-0002-0000-0500-000001000000}">
      <formula1>"High,Low,None"</formula1>
    </dataValidation>
    <dataValidation type="list" allowBlank="1" showErrorMessage="1" sqref="B5:B18" xr:uid="{00000000-0002-0000-0500-000002000000}">
      <formula1>"Spoofing ,Tampering,Repudiation,Information Disclosure,Denial of Service,Elevation of Privilage"</formula1>
    </dataValidation>
    <dataValidation type="list" allowBlank="1" showErrorMessage="1" sqref="L5:L18" xr:uid="{00000000-0002-0000-0500-000003000000}">
      <formula1>"Unchanged,Changed"</formula1>
    </dataValidation>
    <dataValidation type="list" allowBlank="1" showErrorMessage="1" sqref="F5:F18" xr:uid="{00000000-0002-0000-0500-000004000000}">
      <formula1>"Low,High"</formula1>
    </dataValidation>
    <dataValidation type="list" allowBlank="1" showErrorMessage="1" sqref="D5:D18" xr:uid="{00000000-0002-0000-0500-000005000000}">
      <formula1>"Network,Adjacent Network,Local,Physical"</formula1>
    </dataValidation>
    <dataValidation type="list" allowBlank="1" showErrorMessage="1" sqref="A5 A12 A16:A17" xr:uid="{00000000-0002-0000-05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8" xr:uid="{00000000-0002-0000-0500-000007000000}">
      <formula1>"None,Required"</formula1>
    </dataValidation>
    <dataValidation type="list" allowBlank="1" showErrorMessage="1" sqref="H5:H18" xr:uid="{00000000-0002-0000-0500-000008000000}">
      <formula1>"None,Low,High"</formula1>
    </dataValidation>
    <dataValidation type="list" allowBlank="1" showErrorMessage="1" sqref="A6:A10 A13:A15 A18" xr:uid="{00000000-0002-0000-05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8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43</v>
      </c>
      <c r="B5" s="19" t="s">
        <v>36</v>
      </c>
      <c r="C5" s="27" t="s">
        <v>99</v>
      </c>
      <c r="D5" s="19" t="s">
        <v>46</v>
      </c>
      <c r="E5" s="18">
        <f t="shared" ref="E5:E18" si="0">IF(D5="Network",0.85,IF(D5="Adjacent Network",0.62,IF(D5="Local",0.55,IF(D5="Physical",0.2,0))))</f>
        <v>0.62</v>
      </c>
      <c r="F5" s="19" t="s">
        <v>39</v>
      </c>
      <c r="G5" s="18">
        <f t="shared" ref="G5:G17" si="1">IF(F5="Low",0.77,IF(F5="High",0.44,0))</f>
        <v>0.44</v>
      </c>
      <c r="H5" s="19" t="s">
        <v>42</v>
      </c>
      <c r="I5" s="18">
        <f t="shared" ref="I5:I18" si="2">IF(H5="None",0.85,IF(AND(H5="Low",L5="Unchanged"),0.62,IF(AND(H5="Low",L5="Changed"),0.68,IF(AND(H5="High",L5="Changed"),0.5,IF(AND(H5="High",L5="Unchanged"),0.27,0)))))</f>
        <v>0.85</v>
      </c>
      <c r="J5" s="19" t="s">
        <v>40</v>
      </c>
      <c r="K5" s="18">
        <f t="shared" ref="K5:K18" si="3">IF(J5="Required",0.62,IF(J5="None",0.85,0))</f>
        <v>0.62</v>
      </c>
      <c r="L5" s="19" t="s">
        <v>41</v>
      </c>
      <c r="M5" s="18">
        <f t="shared" ref="M5:M18" si="4">IF(L5="Changed",7.52,IF(L5="Unchanged",6.42,0))</f>
        <v>7.52</v>
      </c>
      <c r="N5" s="19" t="s">
        <v>39</v>
      </c>
      <c r="O5" s="19">
        <f t="shared" ref="O5:O18" si="5">IF(N5="High",0.56,IF(N5="Low",0.22,IF(N5="None",0,0)))</f>
        <v>0.56000000000000005</v>
      </c>
      <c r="P5" s="19" t="s">
        <v>39</v>
      </c>
      <c r="Q5" s="19">
        <f t="shared" ref="Q5:Q18" si="6">IF(P5="High",0.56,IF(P5="Low",0.22,IF(P5="None",0,0)))</f>
        <v>0.56000000000000005</v>
      </c>
      <c r="R5" s="19" t="s">
        <v>42</v>
      </c>
      <c r="S5" s="19">
        <f t="shared" ref="S5:S18" si="7">IF(R5="High",0.56,IF(R5="Low",0.22,IF(R5="None",0,0)))</f>
        <v>0</v>
      </c>
      <c r="T5" s="20">
        <f t="shared" ref="T5:T18" si="8">IF(V5&lt;=0,0,IF(L5="Unchanged",MIN(W5+V5,10),MIN((W5+V5)*1.08,10)))</f>
        <v>7.4945349357786872</v>
      </c>
      <c r="U5" s="21">
        <f t="shared" ref="U5:U18" si="9">(1-((1-O5)*(1-Q5)*(1-S5)))</f>
        <v>0.80640000000000001</v>
      </c>
      <c r="V5" s="22">
        <f t="shared" ref="V5:V18" si="10">IF(L5="Unchanged",M5*U5,M5*(U5-0.029)-3.25*POWER(U5-0.02,15))</f>
        <v>5.7576309677950803</v>
      </c>
      <c r="W5" s="22">
        <f t="shared" ref="W5:W18" si="11">8.22*E5*G5*I5*K5</f>
        <v>1.1817532319999999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43</v>
      </c>
      <c r="B6" s="19" t="s">
        <v>44</v>
      </c>
      <c r="C6" s="27" t="s">
        <v>45</v>
      </c>
      <c r="D6" s="19" t="s">
        <v>46</v>
      </c>
      <c r="E6" s="18">
        <f t="shared" si="0"/>
        <v>0.62</v>
      </c>
      <c r="F6" s="19" t="s">
        <v>39</v>
      </c>
      <c r="G6" s="18">
        <f t="shared" si="1"/>
        <v>0.44</v>
      </c>
      <c r="H6" s="19" t="s">
        <v>47</v>
      </c>
      <c r="I6" s="18">
        <f t="shared" si="2"/>
        <v>0.68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7.2392762376666875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0.94540258560000001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85</v>
      </c>
      <c r="B7" s="19" t="s">
        <v>44</v>
      </c>
      <c r="C7" s="28" t="s">
        <v>88</v>
      </c>
      <c r="D7" s="19" t="s">
        <v>38</v>
      </c>
      <c r="E7" s="18">
        <f t="shared" si="0"/>
        <v>0.85</v>
      </c>
      <c r="F7" s="19" t="s">
        <v>47</v>
      </c>
      <c r="G7" s="18">
        <f t="shared" si="1"/>
        <v>0.77</v>
      </c>
      <c r="H7" s="19" t="s">
        <v>42</v>
      </c>
      <c r="I7" s="18">
        <f t="shared" si="2"/>
        <v>0.85</v>
      </c>
      <c r="J7" s="19" t="s">
        <v>42</v>
      </c>
      <c r="K7" s="18">
        <f t="shared" si="3"/>
        <v>0.85</v>
      </c>
      <c r="L7" s="19" t="s">
        <v>59</v>
      </c>
      <c r="M7" s="18">
        <f t="shared" si="4"/>
        <v>6.42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39</v>
      </c>
      <c r="S7" s="19">
        <f t="shared" si="7"/>
        <v>0.56000000000000005</v>
      </c>
      <c r="T7" s="20">
        <f t="shared" si="8"/>
        <v>9.760161495000002</v>
      </c>
      <c r="U7" s="21">
        <f t="shared" si="9"/>
        <v>0.91481600000000007</v>
      </c>
      <c r="V7" s="22">
        <f t="shared" si="10"/>
        <v>5.8731187200000008</v>
      </c>
      <c r="W7" s="22">
        <f t="shared" si="11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90</v>
      </c>
      <c r="B8" s="19" t="s">
        <v>44</v>
      </c>
      <c r="C8" s="27" t="s">
        <v>91</v>
      </c>
      <c r="D8" s="19" t="s">
        <v>38</v>
      </c>
      <c r="E8" s="18">
        <f t="shared" si="0"/>
        <v>0.85</v>
      </c>
      <c r="F8" s="19" t="s">
        <v>47</v>
      </c>
      <c r="G8" s="18">
        <f t="shared" si="1"/>
        <v>0.77</v>
      </c>
      <c r="H8" s="19" t="s">
        <v>42</v>
      </c>
      <c r="I8" s="18">
        <f t="shared" si="2"/>
        <v>0.85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47</v>
      </c>
      <c r="O8" s="19">
        <f t="shared" si="5"/>
        <v>0.22</v>
      </c>
      <c r="P8" s="19" t="s">
        <v>39</v>
      </c>
      <c r="Q8" s="19">
        <f t="shared" si="6"/>
        <v>0.56000000000000005</v>
      </c>
      <c r="R8" s="19" t="s">
        <v>39</v>
      </c>
      <c r="S8" s="19">
        <f t="shared" si="7"/>
        <v>0.56000000000000005</v>
      </c>
      <c r="T8" s="20">
        <f t="shared" si="8"/>
        <v>9.3375714150000011</v>
      </c>
      <c r="U8" s="21">
        <f t="shared" si="9"/>
        <v>0.84899200000000008</v>
      </c>
      <c r="V8" s="22">
        <f t="shared" si="10"/>
        <v>5.4505286400000008</v>
      </c>
      <c r="W8" s="22">
        <f t="shared" si="11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43</v>
      </c>
      <c r="B9" s="19" t="s">
        <v>51</v>
      </c>
      <c r="C9" s="27" t="s">
        <v>100</v>
      </c>
      <c r="D9" s="19" t="s">
        <v>38</v>
      </c>
      <c r="E9" s="18">
        <f t="shared" si="0"/>
        <v>0.85</v>
      </c>
      <c r="F9" s="19" t="s">
        <v>47</v>
      </c>
      <c r="G9" s="18">
        <f t="shared" si="1"/>
        <v>0.77</v>
      </c>
      <c r="H9" s="19" t="s">
        <v>42</v>
      </c>
      <c r="I9" s="18">
        <f t="shared" si="2"/>
        <v>0.85</v>
      </c>
      <c r="J9" s="19" t="s">
        <v>40</v>
      </c>
      <c r="K9" s="18">
        <f t="shared" si="3"/>
        <v>0.62</v>
      </c>
      <c r="L9" s="19" t="s">
        <v>41</v>
      </c>
      <c r="M9" s="18">
        <f t="shared" si="4"/>
        <v>7.52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42</v>
      </c>
      <c r="S9" s="19">
        <f t="shared" si="7"/>
        <v>0</v>
      </c>
      <c r="T9" s="20">
        <f t="shared" si="8"/>
        <v>9.2803165536186878</v>
      </c>
      <c r="U9" s="21">
        <f t="shared" si="9"/>
        <v>0.80640000000000001</v>
      </c>
      <c r="V9" s="22">
        <f t="shared" si="10"/>
        <v>5.7576309677950803</v>
      </c>
      <c r="W9" s="22">
        <f t="shared" si="11"/>
        <v>2.8352547300000004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50</v>
      </c>
      <c r="B10" s="19" t="s">
        <v>51</v>
      </c>
      <c r="C10" s="27" t="s">
        <v>52</v>
      </c>
      <c r="D10" s="19" t="s">
        <v>38</v>
      </c>
      <c r="E10" s="18">
        <f t="shared" si="0"/>
        <v>0.85</v>
      </c>
      <c r="F10" s="19" t="s">
        <v>39</v>
      </c>
      <c r="G10" s="18">
        <f t="shared" si="1"/>
        <v>0.44</v>
      </c>
      <c r="H10" s="19" t="s">
        <v>47</v>
      </c>
      <c r="I10" s="18">
        <f t="shared" si="2"/>
        <v>0.68</v>
      </c>
      <c r="J10" s="19" t="s">
        <v>40</v>
      </c>
      <c r="K10" s="18">
        <f t="shared" si="3"/>
        <v>0.62</v>
      </c>
      <c r="L10" s="19" t="s">
        <v>41</v>
      </c>
      <c r="M10" s="18">
        <f t="shared" si="4"/>
        <v>7.52</v>
      </c>
      <c r="N10" s="19" t="s">
        <v>39</v>
      </c>
      <c r="O10" s="19">
        <f t="shared" si="5"/>
        <v>0.56000000000000005</v>
      </c>
      <c r="P10" s="19" t="s">
        <v>39</v>
      </c>
      <c r="Q10" s="19">
        <f t="shared" si="6"/>
        <v>0.56000000000000005</v>
      </c>
      <c r="R10" s="19" t="s">
        <v>42</v>
      </c>
      <c r="S10" s="19">
        <f t="shared" si="7"/>
        <v>0</v>
      </c>
      <c r="T10" s="20">
        <f t="shared" si="8"/>
        <v>7.6180472090586866</v>
      </c>
      <c r="U10" s="21">
        <f t="shared" si="9"/>
        <v>0.80640000000000001</v>
      </c>
      <c r="V10" s="22">
        <f t="shared" si="10"/>
        <v>5.7576309677950803</v>
      </c>
      <c r="W10" s="22">
        <f t="shared" si="11"/>
        <v>1.2961164479999998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53</v>
      </c>
      <c r="B11" s="19" t="s">
        <v>51</v>
      </c>
      <c r="C11" s="27" t="s">
        <v>52</v>
      </c>
      <c r="D11" s="19" t="s">
        <v>38</v>
      </c>
      <c r="E11" s="18">
        <f t="shared" si="0"/>
        <v>0.85</v>
      </c>
      <c r="F11" s="19" t="s">
        <v>39</v>
      </c>
      <c r="G11" s="18">
        <f t="shared" si="1"/>
        <v>0.44</v>
      </c>
      <c r="H11" s="19" t="s">
        <v>47</v>
      </c>
      <c r="I11" s="18">
        <f t="shared" si="2"/>
        <v>0.68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7.6180472090586866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1.2961164479999998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54</v>
      </c>
      <c r="B12" s="19" t="s">
        <v>51</v>
      </c>
      <c r="C12" s="27" t="s">
        <v>52</v>
      </c>
      <c r="D12" s="19" t="s">
        <v>38</v>
      </c>
      <c r="E12" s="18">
        <f t="shared" si="0"/>
        <v>0.85</v>
      </c>
      <c r="F12" s="19" t="s">
        <v>39</v>
      </c>
      <c r="G12" s="18">
        <f t="shared" si="1"/>
        <v>0.44</v>
      </c>
      <c r="H12" s="19" t="s">
        <v>47</v>
      </c>
      <c r="I12" s="18">
        <f t="shared" si="2"/>
        <v>0.68</v>
      </c>
      <c r="J12" s="19" t="s">
        <v>40</v>
      </c>
      <c r="K12" s="18">
        <f t="shared" si="3"/>
        <v>0.62</v>
      </c>
      <c r="L12" s="19" t="s">
        <v>41</v>
      </c>
      <c r="M12" s="18">
        <f t="shared" si="4"/>
        <v>7.52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7.6180472090586866</v>
      </c>
      <c r="U12" s="21">
        <f t="shared" si="9"/>
        <v>0.80640000000000001</v>
      </c>
      <c r="V12" s="22">
        <f t="shared" si="10"/>
        <v>5.7576309677950803</v>
      </c>
      <c r="W12" s="22">
        <f t="shared" si="11"/>
        <v>1.2961164479999998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.75" customHeight="1">
      <c r="A13" s="17" t="s">
        <v>43</v>
      </c>
      <c r="B13" s="17" t="s">
        <v>63</v>
      </c>
      <c r="C13" s="28" t="s">
        <v>64</v>
      </c>
      <c r="D13" s="17" t="s">
        <v>38</v>
      </c>
      <c r="E13" s="29">
        <f t="shared" si="0"/>
        <v>0.85</v>
      </c>
      <c r="F13" s="17" t="s">
        <v>39</v>
      </c>
      <c r="G13" s="29">
        <f t="shared" si="1"/>
        <v>0.44</v>
      </c>
      <c r="H13" s="17" t="s">
        <v>47</v>
      </c>
      <c r="I13" s="29">
        <f t="shared" si="2"/>
        <v>0.68</v>
      </c>
      <c r="J13" s="17" t="s">
        <v>40</v>
      </c>
      <c r="K13" s="29">
        <f t="shared" si="3"/>
        <v>0.62</v>
      </c>
      <c r="L13" s="17" t="s">
        <v>41</v>
      </c>
      <c r="M13" s="29">
        <f t="shared" si="4"/>
        <v>7.52</v>
      </c>
      <c r="N13" s="17" t="s">
        <v>39</v>
      </c>
      <c r="O13" s="17">
        <f t="shared" si="5"/>
        <v>0.56000000000000005</v>
      </c>
      <c r="P13" s="17" t="s">
        <v>42</v>
      </c>
      <c r="Q13" s="17">
        <f t="shared" si="6"/>
        <v>0</v>
      </c>
      <c r="R13" s="17" t="s">
        <v>42</v>
      </c>
      <c r="S13" s="17">
        <f t="shared" si="7"/>
        <v>0</v>
      </c>
      <c r="T13" s="20">
        <f t="shared" si="8"/>
        <v>5.7120355715551225</v>
      </c>
      <c r="U13" s="21">
        <f t="shared" si="9"/>
        <v>0.56000000000000005</v>
      </c>
      <c r="V13" s="22">
        <f t="shared" si="10"/>
        <v>3.9928053775140029</v>
      </c>
      <c r="W13" s="22">
        <f t="shared" si="11"/>
        <v>1.2961164479999998</v>
      </c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30"/>
    </row>
    <row r="14" spans="1:34">
      <c r="A14" s="17" t="s">
        <v>85</v>
      </c>
      <c r="B14" s="19" t="s">
        <v>51</v>
      </c>
      <c r="C14" s="28" t="s">
        <v>111</v>
      </c>
      <c r="D14" s="19" t="s">
        <v>38</v>
      </c>
      <c r="E14" s="18">
        <f t="shared" si="0"/>
        <v>0.85</v>
      </c>
      <c r="F14" s="19" t="s">
        <v>47</v>
      </c>
      <c r="G14" s="18">
        <f t="shared" si="1"/>
        <v>0.77</v>
      </c>
      <c r="H14" s="19" t="s">
        <v>39</v>
      </c>
      <c r="I14" s="18">
        <f t="shared" si="2"/>
        <v>0.27</v>
      </c>
      <c r="J14" s="19" t="s">
        <v>42</v>
      </c>
      <c r="K14" s="18">
        <f t="shared" si="3"/>
        <v>0.85</v>
      </c>
      <c r="L14" s="19" t="s">
        <v>59</v>
      </c>
      <c r="M14" s="18">
        <f t="shared" si="4"/>
        <v>6.42</v>
      </c>
      <c r="N14" s="19" t="s">
        <v>39</v>
      </c>
      <c r="O14" s="19">
        <f t="shared" si="5"/>
        <v>0.56000000000000005</v>
      </c>
      <c r="P14" s="19" t="s">
        <v>42</v>
      </c>
      <c r="Q14" s="19">
        <f t="shared" si="6"/>
        <v>0</v>
      </c>
      <c r="R14" s="19" t="s">
        <v>42</v>
      </c>
      <c r="S14" s="19">
        <f t="shared" si="7"/>
        <v>0</v>
      </c>
      <c r="T14" s="20">
        <f t="shared" si="8"/>
        <v>4.8299077050000001</v>
      </c>
      <c r="U14" s="21">
        <f t="shared" si="9"/>
        <v>0.56000000000000005</v>
      </c>
      <c r="V14" s="22">
        <f t="shared" si="10"/>
        <v>3.5952000000000002</v>
      </c>
      <c r="W14" s="22">
        <f t="shared" si="11"/>
        <v>1.2347077050000002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97</v>
      </c>
      <c r="B15" s="19" t="s">
        <v>73</v>
      </c>
      <c r="C15" s="27" t="s">
        <v>98</v>
      </c>
      <c r="D15" s="19" t="s">
        <v>66</v>
      </c>
      <c r="E15" s="18">
        <f t="shared" si="0"/>
        <v>0.55000000000000004</v>
      </c>
      <c r="F15" s="19" t="s">
        <v>47</v>
      </c>
      <c r="G15" s="18">
        <f t="shared" si="1"/>
        <v>0.77</v>
      </c>
      <c r="H15" s="19" t="s">
        <v>39</v>
      </c>
      <c r="I15" s="18">
        <f t="shared" si="2"/>
        <v>0.27</v>
      </c>
      <c r="J15" s="19" t="s">
        <v>42</v>
      </c>
      <c r="K15" s="18">
        <f t="shared" si="3"/>
        <v>0.85</v>
      </c>
      <c r="L15" s="19" t="s">
        <v>59</v>
      </c>
      <c r="M15" s="18">
        <f t="shared" si="4"/>
        <v>6.42</v>
      </c>
      <c r="N15" s="19" t="s">
        <v>47</v>
      </c>
      <c r="O15" s="19">
        <f t="shared" si="5"/>
        <v>0.22</v>
      </c>
      <c r="P15" s="19" t="s">
        <v>39</v>
      </c>
      <c r="Q15" s="19">
        <f t="shared" si="6"/>
        <v>0.56000000000000005</v>
      </c>
      <c r="R15" s="19" t="s">
        <v>47</v>
      </c>
      <c r="S15" s="19">
        <f t="shared" si="7"/>
        <v>0.22</v>
      </c>
      <c r="T15" s="20">
        <f t="shared" si="8"/>
        <v>5.5003201950000005</v>
      </c>
      <c r="U15" s="21">
        <f t="shared" si="9"/>
        <v>0.73230400000000007</v>
      </c>
      <c r="V15" s="22">
        <f t="shared" si="10"/>
        <v>4.7013916800000004</v>
      </c>
      <c r="W15" s="22">
        <f t="shared" si="11"/>
        <v>0.79892851500000017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48</v>
      </c>
      <c r="B16" s="19" t="s">
        <v>51</v>
      </c>
      <c r="C16" s="27" t="s">
        <v>79</v>
      </c>
      <c r="D16" s="19" t="s">
        <v>38</v>
      </c>
      <c r="E16" s="18">
        <f t="shared" si="0"/>
        <v>0.85</v>
      </c>
      <c r="F16" s="19" t="s">
        <v>47</v>
      </c>
      <c r="G16" s="18">
        <f t="shared" si="1"/>
        <v>0.77</v>
      </c>
      <c r="H16" s="19" t="s">
        <v>42</v>
      </c>
      <c r="I16" s="18">
        <f t="shared" si="2"/>
        <v>0.85</v>
      </c>
      <c r="J16" s="19" t="s">
        <v>42</v>
      </c>
      <c r="K16" s="18">
        <f t="shared" si="3"/>
        <v>0.85</v>
      </c>
      <c r="L16" s="19" t="s">
        <v>59</v>
      </c>
      <c r="M16" s="18">
        <f t="shared" si="4"/>
        <v>6.42</v>
      </c>
      <c r="N16" s="19" t="s">
        <v>39</v>
      </c>
      <c r="O16" s="19">
        <f t="shared" si="5"/>
        <v>0.56000000000000005</v>
      </c>
      <c r="P16" s="19" t="s">
        <v>42</v>
      </c>
      <c r="Q16" s="19">
        <f t="shared" si="6"/>
        <v>0</v>
      </c>
      <c r="R16" s="19" t="s">
        <v>42</v>
      </c>
      <c r="S16" s="19">
        <f t="shared" si="7"/>
        <v>0</v>
      </c>
      <c r="T16" s="20">
        <f t="shared" si="8"/>
        <v>7.4822427750000005</v>
      </c>
      <c r="U16" s="21">
        <f t="shared" si="9"/>
        <v>0.56000000000000005</v>
      </c>
      <c r="V16" s="22">
        <f t="shared" si="10"/>
        <v>3.5952000000000002</v>
      </c>
      <c r="W16" s="22">
        <f t="shared" si="11"/>
        <v>3.8870427750000003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104</v>
      </c>
      <c r="B17" s="19" t="s">
        <v>51</v>
      </c>
      <c r="C17" s="19" t="s">
        <v>105</v>
      </c>
      <c r="D17" s="19" t="s">
        <v>38</v>
      </c>
      <c r="E17" s="18">
        <f t="shared" si="0"/>
        <v>0.85</v>
      </c>
      <c r="F17" s="19" t="s">
        <v>47</v>
      </c>
      <c r="G17" s="18">
        <f t="shared" si="1"/>
        <v>0.77</v>
      </c>
      <c r="H17" s="19" t="s">
        <v>47</v>
      </c>
      <c r="I17" s="18">
        <f t="shared" si="2"/>
        <v>0.62</v>
      </c>
      <c r="J17" s="19" t="s">
        <v>42</v>
      </c>
      <c r="K17" s="18">
        <f t="shared" si="3"/>
        <v>0.85</v>
      </c>
      <c r="L17" s="19" t="s">
        <v>59</v>
      </c>
      <c r="M17" s="18">
        <f t="shared" si="4"/>
        <v>6.42</v>
      </c>
      <c r="N17" s="19" t="s">
        <v>39</v>
      </c>
      <c r="O17" s="19">
        <f t="shared" si="5"/>
        <v>0.56000000000000005</v>
      </c>
      <c r="P17" s="19" t="s">
        <v>39</v>
      </c>
      <c r="Q17" s="19">
        <f t="shared" si="6"/>
        <v>0.56000000000000005</v>
      </c>
      <c r="R17" s="19" t="s">
        <v>42</v>
      </c>
      <c r="S17" s="19">
        <f t="shared" si="7"/>
        <v>0</v>
      </c>
      <c r="T17" s="20">
        <f t="shared" si="8"/>
        <v>8.0123427300000003</v>
      </c>
      <c r="U17" s="21">
        <f t="shared" si="9"/>
        <v>0.80640000000000001</v>
      </c>
      <c r="V17" s="22">
        <f t="shared" si="10"/>
        <v>5.1770880000000004</v>
      </c>
      <c r="W17" s="22">
        <f t="shared" si="11"/>
        <v>2.8352547299999999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.75" customHeight="1">
      <c r="A18" s="17" t="s">
        <v>56</v>
      </c>
      <c r="B18" s="17" t="s">
        <v>57</v>
      </c>
      <c r="C18" s="28" t="s">
        <v>58</v>
      </c>
      <c r="D18" s="17" t="s">
        <v>38</v>
      </c>
      <c r="E18" s="29">
        <f t="shared" si="0"/>
        <v>0.85</v>
      </c>
      <c r="F18" s="17" t="s">
        <v>39</v>
      </c>
      <c r="G18" s="29">
        <f>IF(F18="High",0.44,IF(F18="Low",0.77,0))</f>
        <v>0.44</v>
      </c>
      <c r="H18" s="17" t="s">
        <v>42</v>
      </c>
      <c r="I18" s="29">
        <f t="shared" si="2"/>
        <v>0.85</v>
      </c>
      <c r="J18" s="17" t="s">
        <v>40</v>
      </c>
      <c r="K18" s="29">
        <f t="shared" si="3"/>
        <v>0.62</v>
      </c>
      <c r="L18" s="17" t="s">
        <v>59</v>
      </c>
      <c r="M18" s="29">
        <f t="shared" si="4"/>
        <v>6.42</v>
      </c>
      <c r="N18" s="17" t="s">
        <v>42</v>
      </c>
      <c r="O18" s="17">
        <f t="shared" si="5"/>
        <v>0</v>
      </c>
      <c r="P18" s="17" t="s">
        <v>42</v>
      </c>
      <c r="Q18" s="17">
        <f t="shared" si="6"/>
        <v>0</v>
      </c>
      <c r="R18" s="17" t="s">
        <v>39</v>
      </c>
      <c r="S18" s="17">
        <f t="shared" si="7"/>
        <v>0.56000000000000005</v>
      </c>
      <c r="T18" s="20">
        <f t="shared" si="8"/>
        <v>5.2153455600000003</v>
      </c>
      <c r="U18" s="21">
        <f t="shared" si="9"/>
        <v>0.56000000000000005</v>
      </c>
      <c r="V18" s="22">
        <f t="shared" si="10"/>
        <v>3.5952000000000002</v>
      </c>
      <c r="W18" s="22">
        <f t="shared" si="11"/>
        <v>1.6201455599999999</v>
      </c>
      <c r="X18" s="29"/>
      <c r="Y18" s="29"/>
      <c r="Z18" s="29"/>
      <c r="AA18" s="29"/>
      <c r="AB18" s="29"/>
      <c r="AC18" s="29"/>
      <c r="AD18" s="29"/>
      <c r="AE18" s="29"/>
      <c r="AF18" s="29"/>
      <c r="AG18" s="30"/>
      <c r="AH18" s="30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>
        <f>SUM(T5:T18)</f>
        <v>102.71819680079525</v>
      </c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18" xr:uid="{00000000-0002-0000-06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8 P5:P18 R5:R18" xr:uid="{00000000-0002-0000-0600-000001000000}">
      <formula1>"High,Low,None"</formula1>
    </dataValidation>
    <dataValidation type="list" allowBlank="1" showErrorMessage="1" sqref="B5:B18" xr:uid="{00000000-0002-0000-0600-000002000000}">
      <formula1>"Spoofing ,Tampering,Repudiation,Information Disclosure,Denial of Service,Elevation of Privilage"</formula1>
    </dataValidation>
    <dataValidation type="list" allowBlank="1" showErrorMessage="1" sqref="L5:L18" xr:uid="{00000000-0002-0000-0600-000003000000}">
      <formula1>"Unchanged,Changed"</formula1>
    </dataValidation>
    <dataValidation type="list" allowBlank="1" showErrorMessage="1" sqref="F5:F18" xr:uid="{00000000-0002-0000-0600-000004000000}">
      <formula1>"Low,High"</formula1>
    </dataValidation>
    <dataValidation type="list" allowBlank="1" showErrorMessage="1" sqref="D5:D18" xr:uid="{00000000-0002-0000-0600-000005000000}">
      <formula1>"Network,Adjacent Network,Local,Physical"</formula1>
    </dataValidation>
    <dataValidation type="list" allowBlank="1" showErrorMessage="1" sqref="A5 A7:A9 A14:A17" xr:uid="{00000000-0002-0000-06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8" xr:uid="{00000000-0002-0000-0600-000007000000}">
      <formula1>"None,Required"</formula1>
    </dataValidation>
    <dataValidation type="list" allowBlank="1" showErrorMessage="1" sqref="H5:H18" xr:uid="{00000000-0002-0000-0600-000008000000}">
      <formula1>"None,Low,High"</formula1>
    </dataValidation>
    <dataValidation type="list" allowBlank="1" showErrorMessage="1" sqref="A6 A10:A13" xr:uid="{00000000-0002-0000-06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H18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9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34" t="s">
        <v>0</v>
      </c>
      <c r="B1" s="8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35"/>
      <c r="Y1" s="35"/>
      <c r="Z1" s="35"/>
      <c r="AA1" s="35"/>
      <c r="AB1" s="35"/>
      <c r="AC1" s="35"/>
      <c r="AD1" s="35"/>
      <c r="AE1" s="35"/>
      <c r="AF1" s="18"/>
      <c r="AG1" s="23"/>
      <c r="AH1" s="23"/>
    </row>
    <row r="2" spans="1:34" ht="15">
      <c r="A2" s="36" t="s">
        <v>3</v>
      </c>
      <c r="B2" s="84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35"/>
      <c r="Y2" s="35"/>
      <c r="Z2" s="35"/>
      <c r="AA2" s="35"/>
      <c r="AB2" s="35"/>
      <c r="AC2" s="35"/>
      <c r="AD2" s="35"/>
      <c r="AE2" s="35"/>
      <c r="AF2" s="18"/>
      <c r="AG2" s="23"/>
      <c r="AH2" s="23"/>
    </row>
    <row r="3" spans="1:34" ht="15">
      <c r="A3" s="37" t="s">
        <v>5</v>
      </c>
      <c r="B3" s="38" t="s">
        <v>6</v>
      </c>
      <c r="C3" s="38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35"/>
      <c r="Y3" s="35"/>
      <c r="Z3" s="35"/>
      <c r="AA3" s="35"/>
      <c r="AB3" s="35"/>
      <c r="AC3" s="35"/>
      <c r="AD3" s="35"/>
      <c r="AE3" s="35"/>
      <c r="AF3" s="18"/>
      <c r="AG3" s="23"/>
      <c r="AH3" s="23"/>
    </row>
    <row r="4" spans="1:34" ht="15">
      <c r="A4" s="39" t="s">
        <v>11</v>
      </c>
      <c r="B4" s="40" t="s">
        <v>12</v>
      </c>
      <c r="C4" s="40" t="s">
        <v>13</v>
      </c>
      <c r="D4" s="41" t="s">
        <v>14</v>
      </c>
      <c r="E4" s="41" t="s">
        <v>15</v>
      </c>
      <c r="F4" s="42" t="s">
        <v>16</v>
      </c>
      <c r="G4" s="41" t="s">
        <v>17</v>
      </c>
      <c r="H4" s="42" t="s">
        <v>18</v>
      </c>
      <c r="I4" s="41" t="s">
        <v>19</v>
      </c>
      <c r="J4" s="42" t="s">
        <v>20</v>
      </c>
      <c r="K4" s="41" t="s">
        <v>21</v>
      </c>
      <c r="L4" s="42" t="s">
        <v>22</v>
      </c>
      <c r="M4" s="43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28</v>
      </c>
      <c r="S4" s="7" t="s">
        <v>29</v>
      </c>
      <c r="T4" s="44" t="s">
        <v>30</v>
      </c>
      <c r="U4" s="44" t="s">
        <v>31</v>
      </c>
      <c r="V4" s="8" t="s">
        <v>32</v>
      </c>
      <c r="W4" s="8" t="s">
        <v>33</v>
      </c>
      <c r="X4" s="35"/>
      <c r="Y4" s="35"/>
      <c r="Z4" s="35"/>
      <c r="AA4" s="35"/>
      <c r="AB4" s="35"/>
      <c r="AC4" s="35"/>
      <c r="AD4" s="35"/>
      <c r="AE4" s="35"/>
      <c r="AF4" s="18"/>
      <c r="AG4" s="23"/>
      <c r="AH4" s="23"/>
    </row>
    <row r="5" spans="1:34" ht="15">
      <c r="A5" s="17" t="s">
        <v>50</v>
      </c>
      <c r="B5" s="19" t="s">
        <v>36</v>
      </c>
      <c r="C5" s="19" t="s">
        <v>65</v>
      </c>
      <c r="D5" s="19" t="s">
        <v>66</v>
      </c>
      <c r="E5" s="18">
        <f t="shared" ref="E5:E12" si="0">IF(D5="Network",0.85,IF(D5="Adjacent Network",0.62,IF(D5="Local",0.55,IF(D5="Physical",0.2,0))))</f>
        <v>0.55000000000000004</v>
      </c>
      <c r="F5" s="19" t="s">
        <v>39</v>
      </c>
      <c r="G5" s="18">
        <f t="shared" ref="G5:G6" si="1">IF(F5="High",0.44,IF(F5="Low",0.77,0))</f>
        <v>0.44</v>
      </c>
      <c r="H5" s="19" t="s">
        <v>39</v>
      </c>
      <c r="I5" s="18">
        <f t="shared" ref="I5:I12" si="2">IF(H5="None",0.85,IF(AND(H5="Low",L5="Unchanged"),0.62,IF(AND(H5="Low",L5="Changed"),0.68,IF(AND(H5="High",L5="Changed"),0.5,IF(AND(H5="High",L5="Unchanged"),0.27,0)))))</f>
        <v>0.5</v>
      </c>
      <c r="J5" s="19" t="s">
        <v>40</v>
      </c>
      <c r="K5" s="18">
        <f t="shared" ref="K5:K12" si="3">IF(J5="Required",0.62,IF(J5="None",0.85,0))</f>
        <v>0.62</v>
      </c>
      <c r="L5" s="19" t="s">
        <v>41</v>
      </c>
      <c r="M5" s="18">
        <f t="shared" ref="M5:M12" si="4">IF(L5="Changed",7.52,IF(L5="Unchanged",6.42,0))</f>
        <v>7.52</v>
      </c>
      <c r="N5" s="19" t="s">
        <v>39</v>
      </c>
      <c r="O5" s="19">
        <f t="shared" ref="O5:O12" si="5">IF(N5="High",0.56,IF(N5="Low",0.22,IF(N5="None",0,0)))</f>
        <v>0.56000000000000005</v>
      </c>
      <c r="P5" s="19" t="s">
        <v>39</v>
      </c>
      <c r="Q5" s="19">
        <f t="shared" ref="Q5:Q12" si="6">IF(P5="High",0.56,IF(P5="Low",0.22,IF(P5="None",0,0)))</f>
        <v>0.56000000000000005</v>
      </c>
      <c r="R5" s="19" t="s">
        <v>39</v>
      </c>
      <c r="S5" s="19">
        <f t="shared" ref="S5:S12" si="7">IF(R5="High",0.56,IF(R5="Low",0.22,IF(R5="None",0,0)))</f>
        <v>0.56000000000000005</v>
      </c>
      <c r="T5" s="20">
        <f t="shared" ref="T5:T12" si="8">IF(V5&lt;=0,0,IF(L5="Unchanged",MIN(W5+V5,10),MIN((W5+V5)*1.08,10)))</f>
        <v>7.1975464828680806</v>
      </c>
      <c r="U5" s="21">
        <f t="shared" ref="U5:U12" si="9">(1-((1-O5)*(1-Q5)*(1-S5)))</f>
        <v>0.91481600000000007</v>
      </c>
      <c r="V5" s="22">
        <f t="shared" ref="V5:V12" si="10">IF(L5="Unchanged",M5*U5,M5*(U5-0.029)-3.25*POWER(U5-0.02,15))</f>
        <v>6.0477304915445185</v>
      </c>
      <c r="W5" s="22">
        <f t="shared" ref="W5:W12" si="11">8.22*E5*G5*I5*K5</f>
        <v>0.61666440000000011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 ht="15">
      <c r="A6" s="17" t="s">
        <v>56</v>
      </c>
      <c r="B6" s="17" t="s">
        <v>57</v>
      </c>
      <c r="C6" s="28" t="s">
        <v>58</v>
      </c>
      <c r="D6" s="17" t="s">
        <v>38</v>
      </c>
      <c r="E6" s="29">
        <f t="shared" si="0"/>
        <v>0.85</v>
      </c>
      <c r="F6" s="17" t="s">
        <v>39</v>
      </c>
      <c r="G6" s="29">
        <f t="shared" si="1"/>
        <v>0.44</v>
      </c>
      <c r="H6" s="17" t="s">
        <v>42</v>
      </c>
      <c r="I6" s="29">
        <f t="shared" si="2"/>
        <v>0.85</v>
      </c>
      <c r="J6" s="17" t="s">
        <v>40</v>
      </c>
      <c r="K6" s="29">
        <f t="shared" si="3"/>
        <v>0.62</v>
      </c>
      <c r="L6" s="17" t="s">
        <v>59</v>
      </c>
      <c r="M6" s="29">
        <f t="shared" si="4"/>
        <v>6.42</v>
      </c>
      <c r="N6" s="17" t="s">
        <v>42</v>
      </c>
      <c r="O6" s="17">
        <f t="shared" si="5"/>
        <v>0</v>
      </c>
      <c r="P6" s="17" t="s">
        <v>42</v>
      </c>
      <c r="Q6" s="17">
        <f t="shared" si="6"/>
        <v>0</v>
      </c>
      <c r="R6" s="17" t="s">
        <v>39</v>
      </c>
      <c r="S6" s="17">
        <f t="shared" si="7"/>
        <v>0.56000000000000005</v>
      </c>
      <c r="T6" s="20">
        <f t="shared" si="8"/>
        <v>5.2153455600000003</v>
      </c>
      <c r="U6" s="21">
        <f t="shared" si="9"/>
        <v>0.56000000000000005</v>
      </c>
      <c r="V6" s="22">
        <f t="shared" si="10"/>
        <v>3.5952000000000002</v>
      </c>
      <c r="W6" s="22">
        <f t="shared" si="11"/>
        <v>1.6201455599999999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 ht="15">
      <c r="A7" s="17" t="s">
        <v>43</v>
      </c>
      <c r="B7" s="19" t="s">
        <v>44</v>
      </c>
      <c r="C7" s="19" t="s">
        <v>45</v>
      </c>
      <c r="D7" s="19" t="s">
        <v>46</v>
      </c>
      <c r="E7" s="18">
        <f t="shared" si="0"/>
        <v>0.62</v>
      </c>
      <c r="F7" s="19" t="s">
        <v>39</v>
      </c>
      <c r="G7" s="18">
        <f t="shared" ref="G7:G12" si="12">IF(F7="Low",0.77,IF(F7="High",0.44,0))</f>
        <v>0.44</v>
      </c>
      <c r="H7" s="19" t="s">
        <v>47</v>
      </c>
      <c r="I7" s="18">
        <f t="shared" si="2"/>
        <v>0.68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7.2392762376666875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0.94540258560000001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">
      <c r="A8" s="17" t="s">
        <v>68</v>
      </c>
      <c r="B8" s="19" t="s">
        <v>57</v>
      </c>
      <c r="C8" s="19" t="s">
        <v>69</v>
      </c>
      <c r="D8" s="19" t="s">
        <v>38</v>
      </c>
      <c r="E8" s="18">
        <f t="shared" si="0"/>
        <v>0.85</v>
      </c>
      <c r="F8" s="19" t="s">
        <v>47</v>
      </c>
      <c r="G8" s="18">
        <f t="shared" si="12"/>
        <v>0.77</v>
      </c>
      <c r="H8" s="19" t="s">
        <v>47</v>
      </c>
      <c r="I8" s="18">
        <f t="shared" si="2"/>
        <v>0.62</v>
      </c>
      <c r="J8" s="19" t="s">
        <v>40</v>
      </c>
      <c r="K8" s="18">
        <f t="shared" si="3"/>
        <v>0.62</v>
      </c>
      <c r="L8" s="19" t="s">
        <v>59</v>
      </c>
      <c r="M8" s="18">
        <f t="shared" si="4"/>
        <v>6.42</v>
      </c>
      <c r="N8" s="17" t="s">
        <v>42</v>
      </c>
      <c r="O8" s="17">
        <f t="shared" si="5"/>
        <v>0</v>
      </c>
      <c r="P8" s="17" t="s">
        <v>42</v>
      </c>
      <c r="Q8" s="17">
        <f t="shared" si="6"/>
        <v>0</v>
      </c>
      <c r="R8" s="17" t="s">
        <v>39</v>
      </c>
      <c r="S8" s="19">
        <f t="shared" si="7"/>
        <v>0.56000000000000005</v>
      </c>
      <c r="T8" s="20">
        <f t="shared" si="8"/>
        <v>5.6632681560000009</v>
      </c>
      <c r="U8" s="21">
        <f t="shared" si="9"/>
        <v>0.56000000000000005</v>
      </c>
      <c r="V8" s="22">
        <f t="shared" si="10"/>
        <v>3.5952000000000002</v>
      </c>
      <c r="W8" s="22">
        <f t="shared" si="11"/>
        <v>2.0680681560000003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">
      <c r="A9" s="17" t="s">
        <v>68</v>
      </c>
      <c r="B9" s="19" t="s">
        <v>51</v>
      </c>
      <c r="C9" s="19" t="s">
        <v>70</v>
      </c>
      <c r="D9" s="19" t="s">
        <v>38</v>
      </c>
      <c r="E9" s="18">
        <f t="shared" si="0"/>
        <v>0.85</v>
      </c>
      <c r="F9" s="19" t="s">
        <v>39</v>
      </c>
      <c r="G9" s="18">
        <f t="shared" si="12"/>
        <v>0.44</v>
      </c>
      <c r="H9" s="19" t="s">
        <v>47</v>
      </c>
      <c r="I9" s="18">
        <f t="shared" si="2"/>
        <v>0.68</v>
      </c>
      <c r="J9" s="19" t="s">
        <v>40</v>
      </c>
      <c r="K9" s="18">
        <f t="shared" si="3"/>
        <v>0.62</v>
      </c>
      <c r="L9" s="19" t="s">
        <v>41</v>
      </c>
      <c r="M9" s="18">
        <f t="shared" si="4"/>
        <v>7.52</v>
      </c>
      <c r="N9" s="19" t="s">
        <v>39</v>
      </c>
      <c r="O9" s="19">
        <f t="shared" si="5"/>
        <v>0.56000000000000005</v>
      </c>
      <c r="P9" s="19" t="s">
        <v>42</v>
      </c>
      <c r="Q9" s="19">
        <f t="shared" si="6"/>
        <v>0</v>
      </c>
      <c r="R9" s="19" t="s">
        <v>42</v>
      </c>
      <c r="S9" s="19">
        <f t="shared" si="7"/>
        <v>0</v>
      </c>
      <c r="T9" s="20">
        <f t="shared" si="8"/>
        <v>5.7120355715551225</v>
      </c>
      <c r="U9" s="21">
        <f t="shared" si="9"/>
        <v>0.56000000000000005</v>
      </c>
      <c r="V9" s="22">
        <f t="shared" si="10"/>
        <v>3.9928053775140029</v>
      </c>
      <c r="W9" s="22">
        <f t="shared" si="11"/>
        <v>1.2961164479999998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" customHeight="1">
      <c r="A10" s="17" t="s">
        <v>43</v>
      </c>
      <c r="B10" s="17" t="s">
        <v>63</v>
      </c>
      <c r="C10" s="17" t="s">
        <v>64</v>
      </c>
      <c r="D10" s="17" t="s">
        <v>38</v>
      </c>
      <c r="E10" s="29">
        <f t="shared" si="0"/>
        <v>0.85</v>
      </c>
      <c r="F10" s="17" t="s">
        <v>39</v>
      </c>
      <c r="G10" s="29">
        <f t="shared" si="12"/>
        <v>0.44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5.7120355715551225</v>
      </c>
      <c r="U10" s="21">
        <f t="shared" si="9"/>
        <v>0.56000000000000005</v>
      </c>
      <c r="V10" s="22">
        <f t="shared" si="10"/>
        <v>3.9928053775140029</v>
      </c>
      <c r="W10" s="22">
        <f t="shared" si="11"/>
        <v>1.2961164479999998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 ht="15">
      <c r="A11" s="17" t="s">
        <v>50</v>
      </c>
      <c r="B11" s="19" t="s">
        <v>51</v>
      </c>
      <c r="C11" s="19" t="s">
        <v>71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47</v>
      </c>
      <c r="I11" s="18">
        <f t="shared" si="2"/>
        <v>0.68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42</v>
      </c>
      <c r="O11" s="19">
        <f t="shared" si="5"/>
        <v>0</v>
      </c>
      <c r="P11" s="19" t="s">
        <v>42</v>
      </c>
      <c r="Q11" s="19">
        <f t="shared" si="6"/>
        <v>0</v>
      </c>
      <c r="R11" s="19" t="s">
        <v>39</v>
      </c>
      <c r="S11" s="19">
        <f t="shared" si="7"/>
        <v>0.56000000000000005</v>
      </c>
      <c r="T11" s="20">
        <f t="shared" si="8"/>
        <v>6.7618898944351242</v>
      </c>
      <c r="U11" s="21">
        <f t="shared" si="9"/>
        <v>0.56000000000000005</v>
      </c>
      <c r="V11" s="22">
        <f t="shared" si="10"/>
        <v>3.9928053775140029</v>
      </c>
      <c r="W11" s="22">
        <f t="shared" si="11"/>
        <v>2.2682037840000002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8" customHeight="1">
      <c r="A12" s="17" t="s">
        <v>54</v>
      </c>
      <c r="B12" s="19" t="s">
        <v>63</v>
      </c>
      <c r="C12" s="19" t="s">
        <v>72</v>
      </c>
      <c r="D12" s="19" t="s">
        <v>38</v>
      </c>
      <c r="E12" s="18">
        <f t="shared" si="0"/>
        <v>0.85</v>
      </c>
      <c r="F12" s="19" t="s">
        <v>47</v>
      </c>
      <c r="G12" s="18">
        <f t="shared" si="12"/>
        <v>0.77</v>
      </c>
      <c r="H12" s="19" t="s">
        <v>47</v>
      </c>
      <c r="I12" s="18">
        <f t="shared" si="2"/>
        <v>0.68</v>
      </c>
      <c r="J12" s="19" t="s">
        <v>40</v>
      </c>
      <c r="K12" s="18">
        <f t="shared" si="3"/>
        <v>0.62</v>
      </c>
      <c r="L12" s="19" t="s">
        <v>41</v>
      </c>
      <c r="M12" s="18">
        <f t="shared" si="4"/>
        <v>7.52</v>
      </c>
      <c r="N12" s="19" t="s">
        <v>42</v>
      </c>
      <c r="O12" s="19">
        <f t="shared" si="5"/>
        <v>0</v>
      </c>
      <c r="P12" s="19" t="s">
        <v>42</v>
      </c>
      <c r="Q12" s="19">
        <f t="shared" si="6"/>
        <v>0</v>
      </c>
      <c r="R12" s="19" t="s">
        <v>39</v>
      </c>
      <c r="S12" s="19">
        <f t="shared" si="7"/>
        <v>0.56000000000000005</v>
      </c>
      <c r="T12" s="20">
        <f t="shared" si="8"/>
        <v>6.7618898944351242</v>
      </c>
      <c r="U12" s="21">
        <f t="shared" si="9"/>
        <v>0.56000000000000005</v>
      </c>
      <c r="V12" s="22">
        <f t="shared" si="10"/>
        <v>3.9928053775140029</v>
      </c>
      <c r="W12" s="22">
        <f t="shared" si="11"/>
        <v>2.2682037840000002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">
      <c r="A13" s="17"/>
      <c r="B13" s="19"/>
      <c r="C13" s="19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9"/>
      <c r="P13" s="19"/>
      <c r="Q13" s="19"/>
      <c r="R13" s="19"/>
      <c r="S13" s="19"/>
      <c r="T13" s="20">
        <f>SUM(T5:T12)</f>
        <v>50.263287368515257</v>
      </c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">
      <c r="A14" s="17" t="s">
        <v>112</v>
      </c>
      <c r="B14" s="19"/>
      <c r="C14" s="19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9"/>
      <c r="P14" s="19"/>
      <c r="Q14" s="19"/>
      <c r="R14" s="19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 ht="15">
      <c r="A15" s="17" t="s">
        <v>48</v>
      </c>
      <c r="B15" s="19" t="s">
        <v>63</v>
      </c>
      <c r="C15" s="19" t="s">
        <v>113</v>
      </c>
      <c r="D15" s="19" t="s">
        <v>38</v>
      </c>
      <c r="E15" s="18">
        <f t="shared" ref="E15:E17" si="13">IF(D15="Network",0.85,IF(D15="Adjacent Network",0.62,IF(D15="Local",0.55,IF(D15="Physical",0.2,0))))</f>
        <v>0.85</v>
      </c>
      <c r="F15" s="19" t="s">
        <v>39</v>
      </c>
      <c r="G15" s="18">
        <f t="shared" ref="G15:G17" si="14">IF(F15="Low",0.77,IF(F15="High",0.44,0))</f>
        <v>0.44</v>
      </c>
      <c r="H15" s="19" t="s">
        <v>42</v>
      </c>
      <c r="I15" s="18">
        <f t="shared" ref="I15:I17" si="15">IF(H15="None",0.85,IF(AND(H15="Low",L15="Unchanged"),0.62,IF(AND(H15="Low",L15="Changed"),0.68,IF(AND(H15="High",L15="Changed"),0.5,IF(AND(H15="High",L15="Unchanged"),0.27,0)))))</f>
        <v>0.85</v>
      </c>
      <c r="J15" s="19" t="s">
        <v>40</v>
      </c>
      <c r="K15" s="18">
        <f t="shared" ref="K15:K17" si="16">IF(J15="Required",0.62,IF(J15="None",0.85,0))</f>
        <v>0.62</v>
      </c>
      <c r="L15" s="19" t="s">
        <v>41</v>
      </c>
      <c r="M15" s="18">
        <f t="shared" ref="M15:M17" si="17">IF(L15="Changed",7.52,IF(L15="Unchanged",6.42,0))</f>
        <v>7.52</v>
      </c>
      <c r="N15" s="19" t="s">
        <v>39</v>
      </c>
      <c r="O15" s="19">
        <f t="shared" ref="O15:O17" si="18">IF(N15="High",0.56,IF(N15="Low",0.22,IF(N15="None",0,0)))</f>
        <v>0.56000000000000005</v>
      </c>
      <c r="P15" s="19" t="s">
        <v>39</v>
      </c>
      <c r="Q15" s="19">
        <f t="shared" ref="Q15:Q17" si="19">IF(P15="High",0.56,IF(P15="Low",0.22,IF(P15="None",0,0)))</f>
        <v>0.56000000000000005</v>
      </c>
      <c r="R15" s="19" t="s">
        <v>39</v>
      </c>
      <c r="S15" s="19">
        <f t="shared" ref="S15:S17" si="20">IF(R15="High",0.56,IF(R15="Low",0.22,IF(R15="None",0,0)))</f>
        <v>0.56000000000000005</v>
      </c>
      <c r="T15" s="20">
        <f t="shared" ref="T15:T17" si="21">IF(V15&lt;=0,0,IF(L15="Unchanged",MIN(W15+V15,10),MIN((W15+V15)*1.08,10)))</f>
        <v>8.2813061356680802</v>
      </c>
      <c r="U15" s="21">
        <f t="shared" ref="U15:U17" si="22">(1-((1-O15)*(1-Q15)*(1-S15)))</f>
        <v>0.91481600000000007</v>
      </c>
      <c r="V15" s="22">
        <f t="shared" ref="V15:V17" si="23">IF(L15="Unchanged",M15*U15,M15*(U15-0.029)-3.25*POWER(U15-0.02,15))</f>
        <v>6.0477304915445185</v>
      </c>
      <c r="W15" s="22">
        <f t="shared" ref="W15:W17" si="24">8.22*E15*G15*I15*K15</f>
        <v>1.6201455599999999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">
      <c r="A16" s="17" t="s">
        <v>54</v>
      </c>
      <c r="B16" s="19" t="s">
        <v>63</v>
      </c>
      <c r="C16" s="19" t="s">
        <v>113</v>
      </c>
      <c r="D16" s="19" t="s">
        <v>38</v>
      </c>
      <c r="E16" s="18">
        <f t="shared" si="13"/>
        <v>0.85</v>
      </c>
      <c r="F16" s="19" t="s">
        <v>39</v>
      </c>
      <c r="G16" s="18">
        <f t="shared" si="14"/>
        <v>0.44</v>
      </c>
      <c r="H16" s="19" t="s">
        <v>42</v>
      </c>
      <c r="I16" s="18">
        <f t="shared" si="15"/>
        <v>0.85</v>
      </c>
      <c r="J16" s="19" t="s">
        <v>40</v>
      </c>
      <c r="K16" s="18">
        <f t="shared" si="16"/>
        <v>0.62</v>
      </c>
      <c r="L16" s="19" t="s">
        <v>41</v>
      </c>
      <c r="M16" s="18">
        <f t="shared" si="17"/>
        <v>7.52</v>
      </c>
      <c r="N16" s="19" t="s">
        <v>39</v>
      </c>
      <c r="O16" s="19">
        <f t="shared" si="18"/>
        <v>0.56000000000000005</v>
      </c>
      <c r="P16" s="19" t="s">
        <v>39</v>
      </c>
      <c r="Q16" s="19">
        <f t="shared" si="19"/>
        <v>0.56000000000000005</v>
      </c>
      <c r="R16" s="19" t="s">
        <v>39</v>
      </c>
      <c r="S16" s="19">
        <f t="shared" si="20"/>
        <v>0.56000000000000005</v>
      </c>
      <c r="T16" s="20">
        <f t="shared" si="21"/>
        <v>8.2813061356680802</v>
      </c>
      <c r="U16" s="21">
        <f t="shared" si="22"/>
        <v>0.91481600000000007</v>
      </c>
      <c r="V16" s="22">
        <f t="shared" si="23"/>
        <v>6.0477304915445185</v>
      </c>
      <c r="W16" s="22">
        <f t="shared" si="24"/>
        <v>1.6201455599999999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 ht="15">
      <c r="A17" s="17" t="s">
        <v>114</v>
      </c>
      <c r="B17" s="19" t="s">
        <v>63</v>
      </c>
      <c r="C17" s="19" t="s">
        <v>113</v>
      </c>
      <c r="D17" s="19" t="s">
        <v>38</v>
      </c>
      <c r="E17" s="18">
        <f t="shared" si="13"/>
        <v>0.85</v>
      </c>
      <c r="F17" s="19" t="s">
        <v>39</v>
      </c>
      <c r="G17" s="18">
        <f t="shared" si="14"/>
        <v>0.44</v>
      </c>
      <c r="H17" s="19" t="s">
        <v>42</v>
      </c>
      <c r="I17" s="18">
        <f t="shared" si="15"/>
        <v>0.85</v>
      </c>
      <c r="J17" s="19" t="s">
        <v>40</v>
      </c>
      <c r="K17" s="18">
        <f t="shared" si="16"/>
        <v>0.62</v>
      </c>
      <c r="L17" s="19" t="s">
        <v>41</v>
      </c>
      <c r="M17" s="18">
        <f t="shared" si="17"/>
        <v>7.52</v>
      </c>
      <c r="N17" s="19" t="s">
        <v>39</v>
      </c>
      <c r="O17" s="19">
        <f t="shared" si="18"/>
        <v>0.56000000000000005</v>
      </c>
      <c r="P17" s="19" t="s">
        <v>39</v>
      </c>
      <c r="Q17" s="19">
        <f t="shared" si="19"/>
        <v>0.56000000000000005</v>
      </c>
      <c r="R17" s="19" t="s">
        <v>39</v>
      </c>
      <c r="S17" s="19">
        <f t="shared" si="20"/>
        <v>0.56000000000000005</v>
      </c>
      <c r="T17" s="20">
        <f t="shared" si="21"/>
        <v>8.2813061356680802</v>
      </c>
      <c r="U17" s="21">
        <f t="shared" si="22"/>
        <v>0.91481600000000007</v>
      </c>
      <c r="V17" s="22">
        <f t="shared" si="23"/>
        <v>6.0477304915445185</v>
      </c>
      <c r="W17" s="22">
        <f t="shared" si="24"/>
        <v>1.6201455599999999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3">
      <c r="T18" s="33">
        <f>SUM(T15:T17)</f>
        <v>24.843918407004239</v>
      </c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A5:A12 A15:A17" xr:uid="{00000000-0002-0000-07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2 P5:P12 R5:R12 N15:N17 P15:P17 R15:R17" xr:uid="{00000000-0002-0000-0700-000001000000}">
      <formula1>"High,Low,None"</formula1>
    </dataValidation>
    <dataValidation type="list" allowBlank="1" showErrorMessage="1" sqref="B5:B12 B15:B17" xr:uid="{00000000-0002-0000-0700-000002000000}">
      <formula1>"Spoofing ,Tampering,Repudiation,Information Disclosure,Denial of Service,Elevation of Privilage"</formula1>
    </dataValidation>
    <dataValidation type="list" allowBlank="1" showErrorMessage="1" sqref="L5:L12 L15:L17" xr:uid="{00000000-0002-0000-0700-000003000000}">
      <formula1>"Unchanged,Changed"</formula1>
    </dataValidation>
    <dataValidation type="list" allowBlank="1" showErrorMessage="1" sqref="F5:F12 F15:F17" xr:uid="{00000000-0002-0000-0700-000004000000}">
      <formula1>"Low,High"</formula1>
    </dataValidation>
    <dataValidation type="list" allowBlank="1" showErrorMessage="1" sqref="D5:D12 D15:D17" xr:uid="{00000000-0002-0000-0700-000005000000}">
      <formula1>"Network,Adjacent Network,Local,Physical"</formula1>
    </dataValidation>
    <dataValidation type="list" allowBlank="1" showErrorMessage="1" sqref="J5:J12 J15:J17" xr:uid="{00000000-0002-0000-0700-000006000000}">
      <formula1>"None,Required"</formula1>
    </dataValidation>
    <dataValidation type="list" allowBlank="1" showErrorMessage="1" sqref="H5:H12 H15:H17" xr:uid="{00000000-0002-0000-0700-000007000000}">
      <formula1>"None,Low,High"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H49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35</v>
      </c>
      <c r="B5" s="19" t="s">
        <v>51</v>
      </c>
      <c r="C5" s="27" t="s">
        <v>115</v>
      </c>
      <c r="D5" s="19" t="s">
        <v>66</v>
      </c>
      <c r="E5" s="18">
        <f t="shared" ref="E5:E14" si="0">IF(D5="Network",0.85,IF(D5="Adjacent Network",0.62,IF(D5="Local",0.55,IF(D5="Physical",0.2,0))))</f>
        <v>0.55000000000000004</v>
      </c>
      <c r="F5" s="19" t="s">
        <v>39</v>
      </c>
      <c r="G5" s="18">
        <f>IF(F5="High",0.44,IF(F5="Low",0.77,0))</f>
        <v>0.44</v>
      </c>
      <c r="H5" s="19" t="s">
        <v>39</v>
      </c>
      <c r="I5" s="18">
        <f t="shared" ref="I5:I14" si="1">IF(H5="None",0.85,IF(AND(H5="Low",L5="Unchanged"),0.62,IF(AND(H5="Low",L5="Changed"),0.68,IF(AND(H5="High",L5="Changed"),0.5,IF(AND(H5="High",L5="Unchanged"),0.27,0)))))</f>
        <v>0.5</v>
      </c>
      <c r="J5" s="19" t="s">
        <v>40</v>
      </c>
      <c r="K5" s="18">
        <f t="shared" ref="K5:K14" si="2">IF(J5="Required",0.62,IF(J5="None",0.85,0))</f>
        <v>0.62</v>
      </c>
      <c r="L5" s="19" t="s">
        <v>41</v>
      </c>
      <c r="M5" s="18">
        <f t="shared" ref="M5:M14" si="3">IF(L5="Changed",7.52,IF(L5="Unchanged",6.42,0))</f>
        <v>7.52</v>
      </c>
      <c r="N5" s="19" t="s">
        <v>39</v>
      </c>
      <c r="O5" s="19">
        <f t="shared" ref="O5:O14" si="4">IF(N5="High",0.56,IF(N5="Low",0.22,IF(N5="None",0,0)))</f>
        <v>0.56000000000000005</v>
      </c>
      <c r="P5" s="19" t="s">
        <v>42</v>
      </c>
      <c r="Q5" s="19">
        <f t="shared" ref="Q5:Q14" si="5">IF(P5="High",0.56,IF(P5="Low",0.22,IF(P5="None",0,0)))</f>
        <v>0</v>
      </c>
      <c r="R5" s="19" t="s">
        <v>42</v>
      </c>
      <c r="S5" s="19">
        <f t="shared" ref="S5:S14" si="6">IF(R5="High",0.56,IF(R5="Low",0.22,IF(R5="None",0,0)))</f>
        <v>0</v>
      </c>
      <c r="T5" s="20">
        <f t="shared" ref="T5:T14" si="7">IF(V5&lt;=0,0,IF(L5="Unchanged",MIN(W5+V5,10),MIN((W5+V5)*1.08,10)))</f>
        <v>4.9782273597151239</v>
      </c>
      <c r="U5" s="21">
        <f t="shared" ref="U5:U14" si="8">(1-((1-O5)*(1-Q5)*(1-S5)))</f>
        <v>0.56000000000000005</v>
      </c>
      <c r="V5" s="22">
        <f t="shared" ref="V5:V14" si="9">IF(L5="Unchanged",M5*U5,M5*(U5-0.029)-3.25*POWER(U5-0.02,15))</f>
        <v>3.9928053775140029</v>
      </c>
      <c r="W5" s="22">
        <f t="shared" ref="W5:W14" si="10">8.22*E5*G5*I5*K5</f>
        <v>0.61666440000000011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48</v>
      </c>
      <c r="B6" s="19" t="s">
        <v>63</v>
      </c>
      <c r="C6" s="27" t="s">
        <v>75</v>
      </c>
      <c r="D6" s="19" t="s">
        <v>38</v>
      </c>
      <c r="E6" s="18">
        <f t="shared" si="0"/>
        <v>0.85</v>
      </c>
      <c r="F6" s="19" t="s">
        <v>39</v>
      </c>
      <c r="G6" s="18">
        <f t="shared" ref="G6:G14" si="11">IF(F6="Low",0.77,IF(F6="High",0.44,0))</f>
        <v>0.44</v>
      </c>
      <c r="H6" s="19" t="s">
        <v>39</v>
      </c>
      <c r="I6" s="18">
        <f t="shared" si="1"/>
        <v>0.5</v>
      </c>
      <c r="J6" s="19" t="s">
        <v>40</v>
      </c>
      <c r="K6" s="18">
        <f t="shared" si="2"/>
        <v>0.62</v>
      </c>
      <c r="L6" s="19" t="s">
        <v>41</v>
      </c>
      <c r="M6" s="18">
        <f t="shared" si="3"/>
        <v>7.52</v>
      </c>
      <c r="N6" s="19" t="s">
        <v>39</v>
      </c>
      <c r="O6" s="19">
        <f t="shared" si="4"/>
        <v>0.56000000000000005</v>
      </c>
      <c r="P6" s="19" t="s">
        <v>42</v>
      </c>
      <c r="Q6" s="19">
        <f t="shared" si="5"/>
        <v>0</v>
      </c>
      <c r="R6" s="19" t="s">
        <v>47</v>
      </c>
      <c r="S6" s="19">
        <f t="shared" si="6"/>
        <v>0.22</v>
      </c>
      <c r="T6" s="20">
        <f t="shared" si="7"/>
        <v>6.1239789795723967</v>
      </c>
      <c r="U6" s="21">
        <f t="shared" si="8"/>
        <v>0.65680000000000005</v>
      </c>
      <c r="V6" s="22">
        <f t="shared" si="9"/>
        <v>4.7173241070114784</v>
      </c>
      <c r="W6" s="22">
        <f t="shared" si="10"/>
        <v>0.95302679999999995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48</v>
      </c>
      <c r="B7" s="19" t="s">
        <v>57</v>
      </c>
      <c r="C7" s="27" t="s">
        <v>116</v>
      </c>
      <c r="D7" s="19" t="s">
        <v>38</v>
      </c>
      <c r="E7" s="18">
        <f t="shared" si="0"/>
        <v>0.85</v>
      </c>
      <c r="F7" s="19" t="s">
        <v>47</v>
      </c>
      <c r="G7" s="18">
        <f t="shared" si="11"/>
        <v>0.77</v>
      </c>
      <c r="H7" s="19" t="s">
        <v>42</v>
      </c>
      <c r="I7" s="18">
        <f t="shared" si="1"/>
        <v>0.85</v>
      </c>
      <c r="J7" s="19" t="s">
        <v>42</v>
      </c>
      <c r="K7" s="18">
        <f t="shared" si="2"/>
        <v>0.85</v>
      </c>
      <c r="L7" s="19" t="s">
        <v>59</v>
      </c>
      <c r="M7" s="18">
        <f t="shared" si="3"/>
        <v>6.42</v>
      </c>
      <c r="N7" s="19" t="s">
        <v>42</v>
      </c>
      <c r="O7" s="19">
        <f t="shared" si="4"/>
        <v>0</v>
      </c>
      <c r="P7" s="19" t="s">
        <v>42</v>
      </c>
      <c r="Q7" s="19">
        <f t="shared" si="5"/>
        <v>0</v>
      </c>
      <c r="R7" s="19" t="s">
        <v>39</v>
      </c>
      <c r="S7" s="19">
        <f t="shared" si="6"/>
        <v>0.56000000000000005</v>
      </c>
      <c r="T7" s="20">
        <f t="shared" si="7"/>
        <v>7.4822427750000005</v>
      </c>
      <c r="U7" s="21">
        <f t="shared" si="8"/>
        <v>0.56000000000000005</v>
      </c>
      <c r="V7" s="22">
        <f t="shared" si="9"/>
        <v>3.5952000000000002</v>
      </c>
      <c r="W7" s="22">
        <f t="shared" si="10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48</v>
      </c>
      <c r="B8" s="19" t="s">
        <v>57</v>
      </c>
      <c r="C8" s="27" t="s">
        <v>117</v>
      </c>
      <c r="D8" s="19" t="s">
        <v>38</v>
      </c>
      <c r="E8" s="18">
        <f t="shared" si="0"/>
        <v>0.85</v>
      </c>
      <c r="F8" s="19" t="s">
        <v>47</v>
      </c>
      <c r="G8" s="18">
        <f t="shared" si="11"/>
        <v>0.77</v>
      </c>
      <c r="H8" s="19" t="s">
        <v>42</v>
      </c>
      <c r="I8" s="18">
        <f t="shared" si="1"/>
        <v>0.85</v>
      </c>
      <c r="J8" s="19" t="s">
        <v>42</v>
      </c>
      <c r="K8" s="18">
        <f t="shared" si="2"/>
        <v>0.85</v>
      </c>
      <c r="L8" s="19" t="s">
        <v>59</v>
      </c>
      <c r="M8" s="18">
        <f t="shared" si="3"/>
        <v>6.42</v>
      </c>
      <c r="N8" s="19" t="s">
        <v>42</v>
      </c>
      <c r="O8" s="19">
        <f t="shared" si="4"/>
        <v>0</v>
      </c>
      <c r="P8" s="19" t="s">
        <v>42</v>
      </c>
      <c r="Q8" s="19">
        <f t="shared" si="5"/>
        <v>0</v>
      </c>
      <c r="R8" s="19" t="s">
        <v>39</v>
      </c>
      <c r="S8" s="19">
        <f t="shared" si="6"/>
        <v>0.56000000000000005</v>
      </c>
      <c r="T8" s="20">
        <f t="shared" si="7"/>
        <v>7.4822427750000005</v>
      </c>
      <c r="U8" s="21">
        <f t="shared" si="8"/>
        <v>0.56000000000000005</v>
      </c>
      <c r="V8" s="22">
        <f t="shared" si="9"/>
        <v>3.5952000000000002</v>
      </c>
      <c r="W8" s="22">
        <f t="shared" si="10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43</v>
      </c>
      <c r="B9" s="19" t="s">
        <v>44</v>
      </c>
      <c r="C9" s="27" t="s">
        <v>45</v>
      </c>
      <c r="D9" s="19" t="s">
        <v>46</v>
      </c>
      <c r="E9" s="18">
        <f t="shared" si="0"/>
        <v>0.62</v>
      </c>
      <c r="F9" s="19" t="s">
        <v>39</v>
      </c>
      <c r="G9" s="18">
        <f t="shared" si="11"/>
        <v>0.44</v>
      </c>
      <c r="H9" s="19" t="s">
        <v>47</v>
      </c>
      <c r="I9" s="18">
        <f t="shared" si="1"/>
        <v>0.68</v>
      </c>
      <c r="J9" s="19" t="s">
        <v>40</v>
      </c>
      <c r="K9" s="18">
        <f t="shared" si="2"/>
        <v>0.62</v>
      </c>
      <c r="L9" s="19" t="s">
        <v>41</v>
      </c>
      <c r="M9" s="18">
        <f t="shared" si="3"/>
        <v>7.52</v>
      </c>
      <c r="N9" s="19" t="s">
        <v>39</v>
      </c>
      <c r="O9" s="19">
        <f t="shared" si="4"/>
        <v>0.56000000000000005</v>
      </c>
      <c r="P9" s="19" t="s">
        <v>39</v>
      </c>
      <c r="Q9" s="19">
        <f t="shared" si="5"/>
        <v>0.56000000000000005</v>
      </c>
      <c r="R9" s="19" t="s">
        <v>42</v>
      </c>
      <c r="S9" s="19">
        <f t="shared" si="6"/>
        <v>0</v>
      </c>
      <c r="T9" s="20">
        <f t="shared" si="7"/>
        <v>7.2392762376666875</v>
      </c>
      <c r="U9" s="21">
        <f t="shared" si="8"/>
        <v>0.80640000000000001</v>
      </c>
      <c r="V9" s="22">
        <f t="shared" si="9"/>
        <v>5.7576309677950803</v>
      </c>
      <c r="W9" s="22">
        <f t="shared" si="10"/>
        <v>0.94540258560000001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48</v>
      </c>
      <c r="B10" s="19" t="s">
        <v>44</v>
      </c>
      <c r="C10" s="27" t="s">
        <v>76</v>
      </c>
      <c r="D10" s="19" t="s">
        <v>38</v>
      </c>
      <c r="E10" s="18">
        <f t="shared" si="0"/>
        <v>0.85</v>
      </c>
      <c r="F10" s="19" t="s">
        <v>47</v>
      </c>
      <c r="G10" s="18">
        <f t="shared" si="11"/>
        <v>0.77</v>
      </c>
      <c r="H10" s="19" t="s">
        <v>42</v>
      </c>
      <c r="I10" s="18">
        <f t="shared" si="1"/>
        <v>0.85</v>
      </c>
      <c r="J10" s="19" t="s">
        <v>40</v>
      </c>
      <c r="K10" s="18">
        <f t="shared" si="2"/>
        <v>0.62</v>
      </c>
      <c r="L10" s="19" t="s">
        <v>59</v>
      </c>
      <c r="M10" s="18">
        <f t="shared" si="3"/>
        <v>6.42</v>
      </c>
      <c r="N10" s="19" t="s">
        <v>47</v>
      </c>
      <c r="O10" s="19">
        <f t="shared" si="4"/>
        <v>0.22</v>
      </c>
      <c r="P10" s="19" t="s">
        <v>47</v>
      </c>
      <c r="Q10" s="19">
        <f t="shared" si="5"/>
        <v>0.22</v>
      </c>
      <c r="R10" s="19" t="s">
        <v>39</v>
      </c>
      <c r="S10" s="19">
        <f t="shared" si="6"/>
        <v>0.56000000000000005</v>
      </c>
      <c r="T10" s="20">
        <f t="shared" si="7"/>
        <v>7.5366464100000012</v>
      </c>
      <c r="U10" s="21">
        <f t="shared" si="8"/>
        <v>0.73230400000000007</v>
      </c>
      <c r="V10" s="22">
        <f t="shared" si="9"/>
        <v>4.7013916800000004</v>
      </c>
      <c r="W10" s="22">
        <f t="shared" si="10"/>
        <v>2.8352547300000004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 ht="15.75" customHeight="1">
      <c r="A11" s="17" t="s">
        <v>43</v>
      </c>
      <c r="B11" s="17" t="s">
        <v>63</v>
      </c>
      <c r="C11" s="28" t="s">
        <v>64</v>
      </c>
      <c r="D11" s="17" t="s">
        <v>38</v>
      </c>
      <c r="E11" s="29">
        <f t="shared" si="0"/>
        <v>0.85</v>
      </c>
      <c r="F11" s="17" t="s">
        <v>39</v>
      </c>
      <c r="G11" s="29">
        <f t="shared" si="11"/>
        <v>0.44</v>
      </c>
      <c r="H11" s="17" t="s">
        <v>47</v>
      </c>
      <c r="I11" s="29">
        <f t="shared" si="1"/>
        <v>0.68</v>
      </c>
      <c r="J11" s="17" t="s">
        <v>40</v>
      </c>
      <c r="K11" s="29">
        <f t="shared" si="2"/>
        <v>0.62</v>
      </c>
      <c r="L11" s="17" t="s">
        <v>41</v>
      </c>
      <c r="M11" s="29">
        <f t="shared" si="3"/>
        <v>7.52</v>
      </c>
      <c r="N11" s="17" t="s">
        <v>39</v>
      </c>
      <c r="O11" s="17">
        <f t="shared" si="4"/>
        <v>0.56000000000000005</v>
      </c>
      <c r="P11" s="17" t="s">
        <v>42</v>
      </c>
      <c r="Q11" s="17">
        <f t="shared" si="5"/>
        <v>0</v>
      </c>
      <c r="R11" s="17" t="s">
        <v>42</v>
      </c>
      <c r="S11" s="17">
        <f t="shared" si="6"/>
        <v>0</v>
      </c>
      <c r="T11" s="20">
        <f t="shared" si="7"/>
        <v>5.7120355715551225</v>
      </c>
      <c r="U11" s="21">
        <f t="shared" si="8"/>
        <v>0.56000000000000005</v>
      </c>
      <c r="V11" s="22">
        <f t="shared" si="9"/>
        <v>3.9928053775140029</v>
      </c>
      <c r="W11" s="22">
        <f t="shared" si="10"/>
        <v>1.2961164479999998</v>
      </c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30"/>
    </row>
    <row r="12" spans="1:34">
      <c r="A12" s="17" t="s">
        <v>85</v>
      </c>
      <c r="B12" s="19" t="s">
        <v>73</v>
      </c>
      <c r="C12" s="27" t="s">
        <v>118</v>
      </c>
      <c r="D12" s="17" t="s">
        <v>38</v>
      </c>
      <c r="E12" s="29">
        <f t="shared" si="0"/>
        <v>0.85</v>
      </c>
      <c r="F12" s="17" t="s">
        <v>47</v>
      </c>
      <c r="G12" s="29">
        <f t="shared" si="11"/>
        <v>0.77</v>
      </c>
      <c r="H12" s="17" t="s">
        <v>47</v>
      </c>
      <c r="I12" s="29">
        <f t="shared" si="1"/>
        <v>0.68</v>
      </c>
      <c r="J12" s="17" t="s">
        <v>40</v>
      </c>
      <c r="K12" s="29">
        <f t="shared" si="2"/>
        <v>0.62</v>
      </c>
      <c r="L12" s="17" t="s">
        <v>41</v>
      </c>
      <c r="M12" s="29">
        <f t="shared" si="3"/>
        <v>7.52</v>
      </c>
      <c r="N12" s="17" t="s">
        <v>39</v>
      </c>
      <c r="O12" s="17">
        <f t="shared" si="4"/>
        <v>0.56000000000000005</v>
      </c>
      <c r="P12" s="17" t="s">
        <v>39</v>
      </c>
      <c r="Q12" s="17">
        <f t="shared" si="5"/>
        <v>0.56000000000000005</v>
      </c>
      <c r="R12" s="17" t="s">
        <v>39</v>
      </c>
      <c r="S12" s="19">
        <f t="shared" si="6"/>
        <v>0.56000000000000005</v>
      </c>
      <c r="T12" s="20">
        <f t="shared" si="7"/>
        <v>8.9812090175880819</v>
      </c>
      <c r="U12" s="21">
        <f t="shared" si="8"/>
        <v>0.91481600000000007</v>
      </c>
      <c r="V12" s="22">
        <f t="shared" si="9"/>
        <v>6.0477304915445185</v>
      </c>
      <c r="W12" s="22">
        <f t="shared" si="10"/>
        <v>2.2682037840000002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35</v>
      </c>
      <c r="B13" s="19" t="s">
        <v>51</v>
      </c>
      <c r="C13" s="27" t="s">
        <v>119</v>
      </c>
      <c r="D13" s="19" t="s">
        <v>38</v>
      </c>
      <c r="E13" s="18">
        <f t="shared" si="0"/>
        <v>0.85</v>
      </c>
      <c r="F13" s="19" t="s">
        <v>39</v>
      </c>
      <c r="G13" s="18">
        <f t="shared" si="11"/>
        <v>0.44</v>
      </c>
      <c r="H13" s="19" t="s">
        <v>39</v>
      </c>
      <c r="I13" s="18">
        <f t="shared" si="1"/>
        <v>0.5</v>
      </c>
      <c r="J13" s="19" t="s">
        <v>40</v>
      </c>
      <c r="K13" s="18">
        <f t="shared" si="2"/>
        <v>0.62</v>
      </c>
      <c r="L13" s="19" t="s">
        <v>41</v>
      </c>
      <c r="M13" s="18">
        <f t="shared" si="3"/>
        <v>7.52</v>
      </c>
      <c r="N13" s="19" t="s">
        <v>39</v>
      </c>
      <c r="O13" s="19">
        <f t="shared" si="4"/>
        <v>0.56000000000000005</v>
      </c>
      <c r="P13" s="19" t="s">
        <v>39</v>
      </c>
      <c r="Q13" s="19">
        <f t="shared" si="5"/>
        <v>0.56000000000000005</v>
      </c>
      <c r="R13" s="19" t="s">
        <v>42</v>
      </c>
      <c r="S13" s="19">
        <f t="shared" si="6"/>
        <v>0</v>
      </c>
      <c r="T13" s="20">
        <f t="shared" si="7"/>
        <v>7.2475103892186867</v>
      </c>
      <c r="U13" s="21">
        <f t="shared" si="8"/>
        <v>0.80640000000000001</v>
      </c>
      <c r="V13" s="22">
        <f t="shared" si="9"/>
        <v>5.7576309677950803</v>
      </c>
      <c r="W13" s="22">
        <f t="shared" si="10"/>
        <v>0.95302679999999995</v>
      </c>
      <c r="X13" s="18"/>
      <c r="Y13" s="18"/>
      <c r="Z13" s="20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 t="s">
        <v>77</v>
      </c>
      <c r="B14" s="17" t="s">
        <v>63</v>
      </c>
      <c r="C14" s="28" t="s">
        <v>78</v>
      </c>
      <c r="D14" s="17" t="s">
        <v>38</v>
      </c>
      <c r="E14" s="29">
        <f t="shared" si="0"/>
        <v>0.85</v>
      </c>
      <c r="F14" s="17" t="s">
        <v>47</v>
      </c>
      <c r="G14" s="29">
        <f t="shared" si="11"/>
        <v>0.77</v>
      </c>
      <c r="H14" s="17" t="s">
        <v>47</v>
      </c>
      <c r="I14" s="29">
        <f t="shared" si="1"/>
        <v>0.68</v>
      </c>
      <c r="J14" s="17" t="s">
        <v>40</v>
      </c>
      <c r="K14" s="29">
        <f t="shared" si="2"/>
        <v>0.62</v>
      </c>
      <c r="L14" s="17" t="s">
        <v>41</v>
      </c>
      <c r="M14" s="29">
        <f t="shared" si="3"/>
        <v>7.52</v>
      </c>
      <c r="N14" s="17" t="s">
        <v>39</v>
      </c>
      <c r="O14" s="17">
        <f t="shared" si="4"/>
        <v>0.56000000000000005</v>
      </c>
      <c r="P14" s="17" t="s">
        <v>39</v>
      </c>
      <c r="Q14" s="17">
        <f t="shared" si="5"/>
        <v>0.56000000000000005</v>
      </c>
      <c r="R14" s="17" t="s">
        <v>39</v>
      </c>
      <c r="S14" s="17">
        <f t="shared" si="6"/>
        <v>0.56000000000000005</v>
      </c>
      <c r="T14" s="20">
        <f t="shared" si="7"/>
        <v>8.9812090175880819</v>
      </c>
      <c r="U14" s="21">
        <f t="shared" si="8"/>
        <v>0.91481600000000007</v>
      </c>
      <c r="V14" s="22">
        <f t="shared" si="9"/>
        <v>6.0477304915445185</v>
      </c>
      <c r="W14" s="22">
        <f t="shared" si="10"/>
        <v>2.2682037840000002</v>
      </c>
      <c r="X14" s="29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7"/>
      <c r="C15" s="28"/>
      <c r="D15" s="17"/>
      <c r="E15" s="29"/>
      <c r="F15" s="17"/>
      <c r="G15" s="29"/>
      <c r="H15" s="17"/>
      <c r="I15" s="29"/>
      <c r="J15" s="17"/>
      <c r="K15" s="29"/>
      <c r="L15" s="17"/>
      <c r="M15" s="29"/>
      <c r="N15" s="17"/>
      <c r="O15" s="17"/>
      <c r="P15" s="17"/>
      <c r="Q15" s="17"/>
      <c r="R15" s="17"/>
      <c r="S15" s="17"/>
      <c r="T15" s="20">
        <f>SUM(T5:T14)</f>
        <v>71.764578532904181</v>
      </c>
      <c r="U15" s="21"/>
      <c r="V15" s="22"/>
      <c r="W15" s="22"/>
      <c r="X15" s="29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120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43</v>
      </c>
      <c r="B17" s="19" t="s">
        <v>44</v>
      </c>
      <c r="C17" s="19" t="s">
        <v>121</v>
      </c>
      <c r="D17" s="19" t="s">
        <v>66</v>
      </c>
      <c r="E17" s="18">
        <f>IF(D17="Network",0.85,IF(D17="Adjacent Network",0.62,IF(D17="Local",0.55,IF(D17="Physical",0.2,0))))</f>
        <v>0.55000000000000004</v>
      </c>
      <c r="F17" s="19" t="s">
        <v>39</v>
      </c>
      <c r="G17" s="18">
        <f>IF(F17="Low",0.77,IF(F17="High",0.44,0))</f>
        <v>0.44</v>
      </c>
      <c r="H17" s="19" t="s">
        <v>42</v>
      </c>
      <c r="I17" s="18">
        <f>IF(H17="None",0.85,IF(AND(H17="Low",L17="Unchanged"),0.62,IF(AND(H17="Low",L17="Changed"),0.68,IF(AND(H17="High",L17="Changed"),0.5,IF(AND(H17="High",L17="Unchanged"),0.27,0)))))</f>
        <v>0.85</v>
      </c>
      <c r="J17" s="19" t="s">
        <v>40</v>
      </c>
      <c r="K17" s="18">
        <f>IF(J17="Required",0.62,IF(J17="None",0.85,0))</f>
        <v>0.62</v>
      </c>
      <c r="L17" s="19" t="s">
        <v>41</v>
      </c>
      <c r="M17" s="18">
        <f>IF(L17="Changed",7.52,IF(L17="Unchanged",6.42,0))</f>
        <v>7.52</v>
      </c>
      <c r="N17" s="19" t="s">
        <v>39</v>
      </c>
      <c r="O17" s="19">
        <f>IF(N17="High",0.56,IF(N17="Low",0.22,IF(N17="None",0,0)))</f>
        <v>0.56000000000000005</v>
      </c>
      <c r="P17" s="19" t="s">
        <v>39</v>
      </c>
      <c r="Q17" s="19">
        <f>IF(P17="High",0.56,IF(P17="Low",0.22,IF(P17="None",0,0)))</f>
        <v>0.56000000000000005</v>
      </c>
      <c r="R17" s="19" t="s">
        <v>42</v>
      </c>
      <c r="S17" s="19">
        <f>IF(R17="High",0.56,IF(R17="Low",0.22,IF(R17="None",0,0)))</f>
        <v>0</v>
      </c>
      <c r="T17" s="20">
        <f>IF(V17&lt;=0,0,IF(L17="Unchanged",MIN(W17+V17,10),MIN((W17+V17)*1.08,10)))</f>
        <v>7.350437283618688</v>
      </c>
      <c r="U17" s="21">
        <f>(1-((1-O17)*(1-Q17)*(1-S17)))</f>
        <v>0.80640000000000001</v>
      </c>
      <c r="V17" s="22">
        <f>IF(L17="Unchanged",M17*U17,M17*(U17-0.029)-3.25*POWER(U17-0.02,15))</f>
        <v>5.7576309677950803</v>
      </c>
      <c r="W17" s="22">
        <f>8.22*E17*G17*I17*K17</f>
        <v>1.0483294800000003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.75" customHeight="1">
      <c r="U18" s="21"/>
      <c r="V18" s="22"/>
      <c r="W18" s="22"/>
    </row>
    <row r="19" spans="1:34" ht="15.75" customHeight="1">
      <c r="T19" s="20"/>
      <c r="U19" s="21"/>
      <c r="V19" s="22"/>
      <c r="W19" s="22"/>
    </row>
    <row r="20" spans="1:34" ht="15.75" customHeight="1">
      <c r="T20" s="20"/>
      <c r="U20" s="21"/>
      <c r="V20" s="22"/>
      <c r="W20" s="22"/>
    </row>
    <row r="21" spans="1:34" ht="15.75" customHeight="1">
      <c r="T21" s="20"/>
      <c r="U21" s="21"/>
      <c r="V21" s="22"/>
      <c r="W21" s="22"/>
    </row>
    <row r="22" spans="1:34" ht="15.75" customHeight="1">
      <c r="T22" s="20"/>
      <c r="U22" s="21"/>
      <c r="V22" s="22"/>
      <c r="W22" s="22"/>
    </row>
    <row r="23" spans="1:34" ht="15.75" customHeight="1">
      <c r="T23" s="20"/>
      <c r="U23" s="21"/>
      <c r="V23" s="22"/>
      <c r="W23" s="22"/>
    </row>
    <row r="24" spans="1:34" ht="15.75" customHeight="1">
      <c r="T24" s="20"/>
      <c r="U24" s="21"/>
      <c r="V24" s="22"/>
      <c r="W24" s="22"/>
    </row>
    <row r="25" spans="1:34" ht="15.75" customHeight="1">
      <c r="T25" s="20"/>
      <c r="U25" s="21"/>
      <c r="V25" s="22"/>
      <c r="W25" s="22"/>
    </row>
    <row r="26" spans="1:34" ht="15.75" customHeight="1">
      <c r="T26" s="20"/>
      <c r="U26" s="21"/>
      <c r="V26" s="22"/>
      <c r="W26" s="22"/>
    </row>
    <row r="27" spans="1:34" ht="15.75" customHeight="1">
      <c r="T27" s="20"/>
      <c r="U27" s="21"/>
      <c r="V27" s="22"/>
      <c r="W27" s="22"/>
    </row>
    <row r="28" spans="1:34" ht="15.75" customHeight="1">
      <c r="T28" s="20"/>
      <c r="U28" s="21"/>
      <c r="V28" s="22"/>
      <c r="W28" s="22"/>
    </row>
    <row r="29" spans="1:34" ht="15.75" customHeight="1">
      <c r="T29" s="20"/>
      <c r="U29" s="21"/>
      <c r="V29" s="22"/>
      <c r="W29" s="22"/>
    </row>
    <row r="30" spans="1:34" ht="15.75" customHeight="1">
      <c r="T30" s="20"/>
      <c r="U30" s="21"/>
      <c r="V30" s="22"/>
      <c r="W30" s="22"/>
    </row>
    <row r="31" spans="1:34" ht="15.75" customHeight="1">
      <c r="T31" s="20"/>
      <c r="U31" s="21"/>
      <c r="V31" s="22"/>
      <c r="W31" s="22"/>
    </row>
    <row r="32" spans="1:34" ht="15.75" customHeight="1">
      <c r="T32" s="20"/>
      <c r="U32" s="21"/>
      <c r="V32" s="22"/>
      <c r="W32" s="22"/>
    </row>
    <row r="33" spans="20:23" ht="15.75" customHeight="1">
      <c r="T33" s="20"/>
      <c r="U33" s="21"/>
      <c r="V33" s="22"/>
      <c r="W33" s="22"/>
    </row>
    <row r="34" spans="20:23" ht="15.75" customHeight="1">
      <c r="T34" s="20"/>
      <c r="U34" s="21"/>
      <c r="V34" s="22"/>
      <c r="W34" s="22"/>
    </row>
    <row r="35" spans="20:23" ht="15.75" customHeight="1">
      <c r="T35" s="20"/>
      <c r="U35" s="21"/>
      <c r="V35" s="22"/>
      <c r="W35" s="22"/>
    </row>
    <row r="36" spans="20:23" ht="15.75" customHeight="1">
      <c r="T36" s="20"/>
      <c r="U36" s="21"/>
      <c r="V36" s="22"/>
      <c r="W36" s="22"/>
    </row>
    <row r="37" spans="20:23" ht="15.75" customHeight="1">
      <c r="T37" s="20"/>
      <c r="U37" s="21"/>
      <c r="V37" s="22"/>
      <c r="W37" s="22"/>
    </row>
    <row r="38" spans="20:23" ht="15.75" customHeight="1">
      <c r="T38" s="20"/>
      <c r="U38" s="21"/>
      <c r="V38" s="22"/>
      <c r="W38" s="22"/>
    </row>
    <row r="39" spans="20:23" ht="15.75" customHeight="1">
      <c r="T39" s="20"/>
      <c r="U39" s="21"/>
      <c r="V39" s="22"/>
      <c r="W39" s="22"/>
    </row>
    <row r="40" spans="20:23" ht="15.75" customHeight="1">
      <c r="T40" s="20"/>
      <c r="U40" s="21"/>
      <c r="V40" s="22"/>
      <c r="W40" s="22"/>
    </row>
    <row r="41" spans="20:23" ht="15.75" customHeight="1">
      <c r="T41" s="20"/>
      <c r="U41" s="21"/>
      <c r="V41" s="22"/>
      <c r="W41" s="22"/>
    </row>
    <row r="42" spans="20:23" ht="15.75" customHeight="1">
      <c r="T42" s="20"/>
      <c r="U42" s="21"/>
      <c r="V42" s="22"/>
      <c r="W42" s="22"/>
    </row>
    <row r="43" spans="20:23" ht="15.75" customHeight="1">
      <c r="T43" s="20"/>
      <c r="U43" s="21"/>
      <c r="V43" s="22"/>
      <c r="W43" s="22"/>
    </row>
    <row r="44" spans="20:23" ht="15.75" customHeight="1">
      <c r="T44" s="20"/>
      <c r="U44" s="21"/>
      <c r="V44" s="22"/>
      <c r="W44" s="22"/>
    </row>
    <row r="45" spans="20:23" ht="15.75" customHeight="1">
      <c r="T45" s="20"/>
      <c r="U45" s="21"/>
      <c r="V45" s="22"/>
      <c r="W45" s="22"/>
    </row>
    <row r="46" spans="20:23" ht="15.75" customHeight="1">
      <c r="T46" s="20"/>
      <c r="U46" s="21"/>
      <c r="V46" s="22"/>
      <c r="W46" s="22"/>
    </row>
    <row r="47" spans="20:23" ht="15.75" customHeight="1">
      <c r="T47" s="20"/>
      <c r="U47" s="21"/>
      <c r="V47" s="22"/>
      <c r="W47" s="22"/>
    </row>
    <row r="48" spans="20:23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4 P5:P14 R5:R14 N17 P17 R17" xr:uid="{00000000-0002-0000-0800-000000000000}">
      <formula1>"High,Low,None"</formula1>
    </dataValidation>
    <dataValidation type="list" allowBlank="1" showErrorMessage="1" sqref="B5:B14 B17" xr:uid="{00000000-0002-0000-0800-000001000000}">
      <formula1>"Spoofing ,Tampering,Repudiation,Information Disclosure,Denial of Service,Elevation of Privilage"</formula1>
    </dataValidation>
    <dataValidation type="list" allowBlank="1" showErrorMessage="1" sqref="L5:L14 L17" xr:uid="{00000000-0002-0000-0800-000002000000}">
      <formula1>"Unchanged,Changed"</formula1>
    </dataValidation>
    <dataValidation type="list" allowBlank="1" showErrorMessage="1" sqref="F5:F14 F17" xr:uid="{00000000-0002-0000-0800-000003000000}">
      <formula1>"Low,High"</formula1>
    </dataValidation>
    <dataValidation type="list" allowBlank="1" showErrorMessage="1" sqref="D5:D14 D17" xr:uid="{00000000-0002-0000-0800-000004000000}">
      <formula1>"Network,Adjacent Network,Local,Physical"</formula1>
    </dataValidation>
    <dataValidation type="list" allowBlank="1" showErrorMessage="1" sqref="A5:A8 A10 A12:A13 A17" xr:uid="{00000000-0002-0000-08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4 J17" xr:uid="{00000000-0002-0000-0800-000006000000}">
      <formula1>"None,Required"</formula1>
    </dataValidation>
    <dataValidation type="list" allowBlank="1" showErrorMessage="1" sqref="H5:H14 H17" xr:uid="{00000000-0002-0000-0800-000007000000}">
      <formula1>"None,Low,High"</formula1>
    </dataValidation>
    <dataValidation type="list" allowBlank="1" showErrorMessage="1" sqref="A9 A11 A14" xr:uid="{00000000-0002-0000-08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66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19" si="0">IF(D5="Network",0.85,IF(D5="Adjacent Network",0.62,IF(D5="Local",0.55,IF(D5="Physical",0.2,0))))</f>
        <v>0.85</v>
      </c>
      <c r="F5" s="17" t="s">
        <v>39</v>
      </c>
      <c r="G5" s="29">
        <f>IF(F5="High",0.44,IF(F5="Low",0.77,0))</f>
        <v>0.44</v>
      </c>
      <c r="H5" s="17" t="s">
        <v>42</v>
      </c>
      <c r="I5" s="29">
        <f t="shared" ref="I5:I19" si="1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19" si="2">IF(J5="Required",0.62,IF(J5="None",0.85,0))</f>
        <v>0.62</v>
      </c>
      <c r="L5" s="17" t="s">
        <v>59</v>
      </c>
      <c r="M5" s="29">
        <f t="shared" ref="M5:M19" si="3">IF(L5="Changed",7.52,IF(L5="Unchanged",6.42,0))</f>
        <v>6.42</v>
      </c>
      <c r="N5" s="17" t="s">
        <v>42</v>
      </c>
      <c r="O5" s="17">
        <f t="shared" ref="O5:O19" si="4">IF(N5="High",0.56,IF(N5="Low",0.22,IF(N5="None",0,0)))</f>
        <v>0</v>
      </c>
      <c r="P5" s="17" t="s">
        <v>42</v>
      </c>
      <c r="Q5" s="17">
        <f t="shared" ref="Q5:Q19" si="5">IF(P5="High",0.56,IF(P5="Low",0.22,IF(P5="None",0,0)))</f>
        <v>0</v>
      </c>
      <c r="R5" s="17" t="s">
        <v>39</v>
      </c>
      <c r="S5" s="17">
        <f t="shared" ref="S5:S19" si="6">IF(R5="High",0.56,IF(R5="Low",0.22,IF(R5="None",0,0)))</f>
        <v>0.56000000000000005</v>
      </c>
      <c r="T5" s="20">
        <f t="shared" ref="T5:T19" si="7">IF(V5&lt;=0,0,IF(L5="Unchanged",MIN(W5+V5,10),MIN((W5+V5)*1.08,10)))</f>
        <v>5.2153455600000003</v>
      </c>
      <c r="U5" s="21">
        <f t="shared" ref="U5:U19" si="8">(1-((1-O5)*(1-Q5)*(1-S5)))</f>
        <v>0.56000000000000005</v>
      </c>
      <c r="V5" s="22">
        <f t="shared" ref="V5:V19" si="9">IF(L5="Unchanged",M5*U5,M5*(U5-0.029)-3.25*POWER(U5-0.02,15))</f>
        <v>3.5952000000000002</v>
      </c>
      <c r="W5" s="22">
        <f t="shared" ref="W5:W19" si="10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>
      <c r="A6" s="17" t="s">
        <v>85</v>
      </c>
      <c r="B6" s="19" t="s">
        <v>51</v>
      </c>
      <c r="C6" s="28" t="s">
        <v>122</v>
      </c>
      <c r="D6" s="19" t="s">
        <v>38</v>
      </c>
      <c r="E6" s="18">
        <f t="shared" si="0"/>
        <v>0.85</v>
      </c>
      <c r="F6" s="19" t="s">
        <v>47</v>
      </c>
      <c r="G6" s="18">
        <f t="shared" ref="G6:G19" si="11">IF(F6="Low",0.77,IF(F6="High",0.44,0))</f>
        <v>0.77</v>
      </c>
      <c r="H6" s="19" t="s">
        <v>39</v>
      </c>
      <c r="I6" s="18">
        <f t="shared" si="1"/>
        <v>0.27</v>
      </c>
      <c r="J6" s="19" t="s">
        <v>42</v>
      </c>
      <c r="K6" s="18">
        <f t="shared" si="2"/>
        <v>0.85</v>
      </c>
      <c r="L6" s="19" t="s">
        <v>59</v>
      </c>
      <c r="M6" s="18">
        <f t="shared" si="3"/>
        <v>6.42</v>
      </c>
      <c r="N6" s="19" t="s">
        <v>39</v>
      </c>
      <c r="O6" s="19">
        <f t="shared" si="4"/>
        <v>0.56000000000000005</v>
      </c>
      <c r="P6" s="19" t="s">
        <v>42</v>
      </c>
      <c r="Q6" s="19">
        <f t="shared" si="5"/>
        <v>0</v>
      </c>
      <c r="R6" s="19" t="s">
        <v>42</v>
      </c>
      <c r="S6" s="19">
        <f t="shared" si="6"/>
        <v>0</v>
      </c>
      <c r="T6" s="20">
        <f t="shared" si="7"/>
        <v>4.8299077050000001</v>
      </c>
      <c r="U6" s="21">
        <f t="shared" si="8"/>
        <v>0.56000000000000005</v>
      </c>
      <c r="V6" s="22">
        <f t="shared" si="9"/>
        <v>3.5952000000000002</v>
      </c>
      <c r="W6" s="22">
        <f t="shared" si="10"/>
        <v>1.2347077050000002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43</v>
      </c>
      <c r="B7" s="17" t="s">
        <v>63</v>
      </c>
      <c r="C7" s="28" t="s">
        <v>64</v>
      </c>
      <c r="D7" s="17" t="s">
        <v>38</v>
      </c>
      <c r="E7" s="29">
        <f t="shared" si="0"/>
        <v>0.85</v>
      </c>
      <c r="F7" s="17" t="s">
        <v>39</v>
      </c>
      <c r="G7" s="29">
        <f t="shared" si="11"/>
        <v>0.44</v>
      </c>
      <c r="H7" s="17" t="s">
        <v>47</v>
      </c>
      <c r="I7" s="29">
        <f t="shared" si="1"/>
        <v>0.68</v>
      </c>
      <c r="J7" s="17" t="s">
        <v>40</v>
      </c>
      <c r="K7" s="29">
        <f t="shared" si="2"/>
        <v>0.62</v>
      </c>
      <c r="L7" s="17" t="s">
        <v>41</v>
      </c>
      <c r="M7" s="29">
        <f t="shared" si="3"/>
        <v>7.52</v>
      </c>
      <c r="N7" s="17" t="s">
        <v>39</v>
      </c>
      <c r="O7" s="17">
        <f t="shared" si="4"/>
        <v>0.56000000000000005</v>
      </c>
      <c r="P7" s="17" t="s">
        <v>42</v>
      </c>
      <c r="Q7" s="17">
        <f t="shared" si="5"/>
        <v>0</v>
      </c>
      <c r="R7" s="17" t="s">
        <v>42</v>
      </c>
      <c r="S7" s="17">
        <f t="shared" si="6"/>
        <v>0</v>
      </c>
      <c r="T7" s="20">
        <f t="shared" si="7"/>
        <v>5.7120355715551225</v>
      </c>
      <c r="U7" s="21">
        <f t="shared" si="8"/>
        <v>0.56000000000000005</v>
      </c>
      <c r="V7" s="22">
        <f t="shared" si="9"/>
        <v>3.9928053775140029</v>
      </c>
      <c r="W7" s="22">
        <f t="shared" si="10"/>
        <v>1.2961164479999998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77</v>
      </c>
      <c r="B8" s="17" t="s">
        <v>63</v>
      </c>
      <c r="C8" s="28" t="s">
        <v>78</v>
      </c>
      <c r="D8" s="17" t="s">
        <v>38</v>
      </c>
      <c r="E8" s="29">
        <f t="shared" si="0"/>
        <v>0.85</v>
      </c>
      <c r="F8" s="17" t="s">
        <v>47</v>
      </c>
      <c r="G8" s="29">
        <f t="shared" si="11"/>
        <v>0.77</v>
      </c>
      <c r="H8" s="17" t="s">
        <v>47</v>
      </c>
      <c r="I8" s="29">
        <f t="shared" si="1"/>
        <v>0.68</v>
      </c>
      <c r="J8" s="17" t="s">
        <v>40</v>
      </c>
      <c r="K8" s="29">
        <f t="shared" si="2"/>
        <v>0.62</v>
      </c>
      <c r="L8" s="17" t="s">
        <v>41</v>
      </c>
      <c r="M8" s="29">
        <f t="shared" si="3"/>
        <v>7.52</v>
      </c>
      <c r="N8" s="17" t="s">
        <v>39</v>
      </c>
      <c r="O8" s="17">
        <f t="shared" si="4"/>
        <v>0.56000000000000005</v>
      </c>
      <c r="P8" s="17" t="s">
        <v>39</v>
      </c>
      <c r="Q8" s="17">
        <f t="shared" si="5"/>
        <v>0.56000000000000005</v>
      </c>
      <c r="R8" s="17" t="s">
        <v>39</v>
      </c>
      <c r="S8" s="17">
        <f t="shared" si="6"/>
        <v>0.56000000000000005</v>
      </c>
      <c r="T8" s="20">
        <f t="shared" si="7"/>
        <v>8.9812090175880819</v>
      </c>
      <c r="U8" s="21">
        <f t="shared" si="8"/>
        <v>0.91481600000000007</v>
      </c>
      <c r="V8" s="22">
        <f t="shared" si="9"/>
        <v>6.0477304915445185</v>
      </c>
      <c r="W8" s="22">
        <f t="shared" si="10"/>
        <v>2.2682037840000002</v>
      </c>
      <c r="X8" s="29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.75" customHeight="1">
      <c r="A9" s="17" t="s">
        <v>60</v>
      </c>
      <c r="B9" s="17" t="s">
        <v>36</v>
      </c>
      <c r="C9" s="82" t="s">
        <v>61</v>
      </c>
      <c r="D9" s="17" t="s">
        <v>38</v>
      </c>
      <c r="E9" s="29">
        <f t="shared" si="0"/>
        <v>0.85</v>
      </c>
      <c r="F9" s="17" t="s">
        <v>47</v>
      </c>
      <c r="G9" s="29">
        <f t="shared" si="11"/>
        <v>0.77</v>
      </c>
      <c r="H9" s="17" t="s">
        <v>47</v>
      </c>
      <c r="I9" s="29">
        <f t="shared" si="1"/>
        <v>0.68</v>
      </c>
      <c r="J9" s="17" t="s">
        <v>40</v>
      </c>
      <c r="K9" s="29">
        <f t="shared" si="2"/>
        <v>0.62</v>
      </c>
      <c r="L9" s="17" t="s">
        <v>41</v>
      </c>
      <c r="M9" s="29">
        <f t="shared" si="3"/>
        <v>7.52</v>
      </c>
      <c r="N9" s="17" t="s">
        <v>39</v>
      </c>
      <c r="O9" s="17">
        <f t="shared" si="4"/>
        <v>0.56000000000000005</v>
      </c>
      <c r="P9" s="17" t="s">
        <v>39</v>
      </c>
      <c r="Q9" s="17">
        <f t="shared" si="5"/>
        <v>0.56000000000000005</v>
      </c>
      <c r="R9" s="17" t="s">
        <v>42</v>
      </c>
      <c r="S9" s="17">
        <f t="shared" si="6"/>
        <v>0</v>
      </c>
      <c r="T9" s="20">
        <f t="shared" si="7"/>
        <v>8.6679015319386874</v>
      </c>
      <c r="U9" s="21">
        <f t="shared" si="8"/>
        <v>0.80640000000000001</v>
      </c>
      <c r="V9" s="22">
        <f t="shared" si="9"/>
        <v>5.7576309677950803</v>
      </c>
      <c r="W9" s="22">
        <f t="shared" si="10"/>
        <v>2.2682037840000002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 ht="15.75" customHeight="1">
      <c r="A10" s="17" t="s">
        <v>62</v>
      </c>
      <c r="B10" s="17" t="s">
        <v>36</v>
      </c>
      <c r="C10" s="76"/>
      <c r="D10" s="17" t="s">
        <v>38</v>
      </c>
      <c r="E10" s="29">
        <f t="shared" si="0"/>
        <v>0.85</v>
      </c>
      <c r="F10" s="17" t="s">
        <v>47</v>
      </c>
      <c r="G10" s="29">
        <f t="shared" si="11"/>
        <v>0.77</v>
      </c>
      <c r="H10" s="17" t="s">
        <v>47</v>
      </c>
      <c r="I10" s="29">
        <f t="shared" si="1"/>
        <v>0.68</v>
      </c>
      <c r="J10" s="17" t="s">
        <v>40</v>
      </c>
      <c r="K10" s="29">
        <f t="shared" si="2"/>
        <v>0.62</v>
      </c>
      <c r="L10" s="17" t="s">
        <v>41</v>
      </c>
      <c r="M10" s="29">
        <f t="shared" si="3"/>
        <v>7.52</v>
      </c>
      <c r="N10" s="17" t="s">
        <v>39</v>
      </c>
      <c r="O10" s="17">
        <f t="shared" si="4"/>
        <v>0.56000000000000005</v>
      </c>
      <c r="P10" s="17" t="s">
        <v>39</v>
      </c>
      <c r="Q10" s="17">
        <f t="shared" si="5"/>
        <v>0.56000000000000005</v>
      </c>
      <c r="R10" s="17" t="s">
        <v>42</v>
      </c>
      <c r="S10" s="17">
        <f t="shared" si="6"/>
        <v>0</v>
      </c>
      <c r="T10" s="20">
        <f t="shared" si="7"/>
        <v>8.6679015319386874</v>
      </c>
      <c r="U10" s="21">
        <f t="shared" si="8"/>
        <v>0.80640000000000001</v>
      </c>
      <c r="V10" s="22">
        <f t="shared" si="9"/>
        <v>5.7576309677950803</v>
      </c>
      <c r="W10" s="22">
        <f t="shared" si="10"/>
        <v>2.2682037840000002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 ht="15.75" customHeight="1">
      <c r="A11" s="17" t="s">
        <v>56</v>
      </c>
      <c r="B11" s="17" t="s">
        <v>63</v>
      </c>
      <c r="C11" s="28" t="s">
        <v>64</v>
      </c>
      <c r="D11" s="17" t="s">
        <v>38</v>
      </c>
      <c r="E11" s="29">
        <f t="shared" si="0"/>
        <v>0.85</v>
      </c>
      <c r="F11" s="17" t="s">
        <v>39</v>
      </c>
      <c r="G11" s="29">
        <f t="shared" si="11"/>
        <v>0.44</v>
      </c>
      <c r="H11" s="17" t="s">
        <v>47</v>
      </c>
      <c r="I11" s="29">
        <f t="shared" si="1"/>
        <v>0.68</v>
      </c>
      <c r="J11" s="17" t="s">
        <v>40</v>
      </c>
      <c r="K11" s="29">
        <f t="shared" si="2"/>
        <v>0.62</v>
      </c>
      <c r="L11" s="17" t="s">
        <v>41</v>
      </c>
      <c r="M11" s="29">
        <f t="shared" si="3"/>
        <v>7.52</v>
      </c>
      <c r="N11" s="17" t="s">
        <v>39</v>
      </c>
      <c r="O11" s="17">
        <f t="shared" si="4"/>
        <v>0.56000000000000005</v>
      </c>
      <c r="P11" s="17" t="s">
        <v>42</v>
      </c>
      <c r="Q11" s="17">
        <f t="shared" si="5"/>
        <v>0</v>
      </c>
      <c r="R11" s="17" t="s">
        <v>42</v>
      </c>
      <c r="S11" s="17">
        <f t="shared" si="6"/>
        <v>0</v>
      </c>
      <c r="T11" s="20">
        <f t="shared" si="7"/>
        <v>5.7120355715551225</v>
      </c>
      <c r="U11" s="21">
        <f t="shared" si="8"/>
        <v>0.56000000000000005</v>
      </c>
      <c r="V11" s="22">
        <f t="shared" si="9"/>
        <v>3.9928053775140029</v>
      </c>
      <c r="W11" s="22">
        <f t="shared" si="10"/>
        <v>1.2961164479999998</v>
      </c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30"/>
    </row>
    <row r="12" spans="1:34">
      <c r="A12" s="17" t="s">
        <v>48</v>
      </c>
      <c r="B12" s="19" t="s">
        <v>51</v>
      </c>
      <c r="C12" s="27" t="s">
        <v>79</v>
      </c>
      <c r="D12" s="19" t="s">
        <v>38</v>
      </c>
      <c r="E12" s="18">
        <f t="shared" si="0"/>
        <v>0.85</v>
      </c>
      <c r="F12" s="19" t="s">
        <v>47</v>
      </c>
      <c r="G12" s="18">
        <f t="shared" si="11"/>
        <v>0.77</v>
      </c>
      <c r="H12" s="19" t="s">
        <v>42</v>
      </c>
      <c r="I12" s="18">
        <f t="shared" si="1"/>
        <v>0.85</v>
      </c>
      <c r="J12" s="19" t="s">
        <v>42</v>
      </c>
      <c r="K12" s="18">
        <f t="shared" si="2"/>
        <v>0.85</v>
      </c>
      <c r="L12" s="19" t="s">
        <v>59</v>
      </c>
      <c r="M12" s="18">
        <f t="shared" si="3"/>
        <v>6.42</v>
      </c>
      <c r="N12" s="19" t="s">
        <v>39</v>
      </c>
      <c r="O12" s="19">
        <f t="shared" si="4"/>
        <v>0.56000000000000005</v>
      </c>
      <c r="P12" s="19" t="s">
        <v>42</v>
      </c>
      <c r="Q12" s="19">
        <f t="shared" si="5"/>
        <v>0</v>
      </c>
      <c r="R12" s="19" t="s">
        <v>42</v>
      </c>
      <c r="S12" s="19">
        <f t="shared" si="6"/>
        <v>0</v>
      </c>
      <c r="T12" s="20">
        <f t="shared" si="7"/>
        <v>7.4822427750000005</v>
      </c>
      <c r="U12" s="21">
        <f t="shared" si="8"/>
        <v>0.56000000000000005</v>
      </c>
      <c r="V12" s="22">
        <f t="shared" si="9"/>
        <v>3.5952000000000002</v>
      </c>
      <c r="W12" s="22">
        <f t="shared" si="10"/>
        <v>3.8870427750000003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104</v>
      </c>
      <c r="B13" s="19" t="s">
        <v>51</v>
      </c>
      <c r="C13" s="19" t="s">
        <v>105</v>
      </c>
      <c r="D13" s="19" t="s">
        <v>38</v>
      </c>
      <c r="E13" s="18">
        <f t="shared" si="0"/>
        <v>0.85</v>
      </c>
      <c r="F13" s="19" t="s">
        <v>47</v>
      </c>
      <c r="G13" s="18">
        <f t="shared" si="11"/>
        <v>0.77</v>
      </c>
      <c r="H13" s="19" t="s">
        <v>47</v>
      </c>
      <c r="I13" s="18">
        <f t="shared" si="1"/>
        <v>0.62</v>
      </c>
      <c r="J13" s="19" t="s">
        <v>42</v>
      </c>
      <c r="K13" s="18">
        <f t="shared" si="2"/>
        <v>0.85</v>
      </c>
      <c r="L13" s="19" t="s">
        <v>59</v>
      </c>
      <c r="M13" s="18">
        <f t="shared" si="3"/>
        <v>6.42</v>
      </c>
      <c r="N13" s="19" t="s">
        <v>39</v>
      </c>
      <c r="O13" s="19">
        <f t="shared" si="4"/>
        <v>0.56000000000000005</v>
      </c>
      <c r="P13" s="19" t="s">
        <v>39</v>
      </c>
      <c r="Q13" s="19">
        <f t="shared" si="5"/>
        <v>0.56000000000000005</v>
      </c>
      <c r="R13" s="19" t="s">
        <v>42</v>
      </c>
      <c r="S13" s="19">
        <f t="shared" si="6"/>
        <v>0</v>
      </c>
      <c r="T13" s="20">
        <f t="shared" si="7"/>
        <v>8.0123427300000003</v>
      </c>
      <c r="U13" s="21">
        <f t="shared" si="8"/>
        <v>0.80640000000000001</v>
      </c>
      <c r="V13" s="22">
        <f t="shared" si="9"/>
        <v>5.1770880000000004</v>
      </c>
      <c r="W13" s="22">
        <f t="shared" si="10"/>
        <v>2.8352547299999999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 t="s">
        <v>77</v>
      </c>
      <c r="B14" s="17" t="s">
        <v>63</v>
      </c>
      <c r="C14" s="28" t="s">
        <v>78</v>
      </c>
      <c r="D14" s="17" t="s">
        <v>38</v>
      </c>
      <c r="E14" s="29">
        <f t="shared" si="0"/>
        <v>0.85</v>
      </c>
      <c r="F14" s="17" t="s">
        <v>47</v>
      </c>
      <c r="G14" s="29">
        <f t="shared" si="11"/>
        <v>0.77</v>
      </c>
      <c r="H14" s="17" t="s">
        <v>47</v>
      </c>
      <c r="I14" s="29">
        <f t="shared" si="1"/>
        <v>0.68</v>
      </c>
      <c r="J14" s="17" t="s">
        <v>40</v>
      </c>
      <c r="K14" s="29">
        <f t="shared" si="2"/>
        <v>0.62</v>
      </c>
      <c r="L14" s="17" t="s">
        <v>41</v>
      </c>
      <c r="M14" s="29">
        <f t="shared" si="3"/>
        <v>7.52</v>
      </c>
      <c r="N14" s="17" t="s">
        <v>39</v>
      </c>
      <c r="O14" s="17">
        <f t="shared" si="4"/>
        <v>0.56000000000000005</v>
      </c>
      <c r="P14" s="17" t="s">
        <v>39</v>
      </c>
      <c r="Q14" s="17">
        <f t="shared" si="5"/>
        <v>0.56000000000000005</v>
      </c>
      <c r="R14" s="17" t="s">
        <v>39</v>
      </c>
      <c r="S14" s="17">
        <f t="shared" si="6"/>
        <v>0.56000000000000005</v>
      </c>
      <c r="T14" s="20">
        <f t="shared" si="7"/>
        <v>8.9812090175880819</v>
      </c>
      <c r="U14" s="21">
        <f t="shared" si="8"/>
        <v>0.91481600000000007</v>
      </c>
      <c r="V14" s="22">
        <f t="shared" si="9"/>
        <v>6.0477304915445185</v>
      </c>
      <c r="W14" s="22">
        <f t="shared" si="10"/>
        <v>2.2682037840000002</v>
      </c>
      <c r="X14" s="29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50</v>
      </c>
      <c r="B15" s="19" t="s">
        <v>36</v>
      </c>
      <c r="C15" s="27" t="s">
        <v>96</v>
      </c>
      <c r="D15" s="19" t="s">
        <v>38</v>
      </c>
      <c r="E15" s="18">
        <f t="shared" si="0"/>
        <v>0.85</v>
      </c>
      <c r="F15" s="19" t="s">
        <v>47</v>
      </c>
      <c r="G15" s="18">
        <f t="shared" si="11"/>
        <v>0.77</v>
      </c>
      <c r="H15" s="19" t="s">
        <v>42</v>
      </c>
      <c r="I15" s="18">
        <f t="shared" si="1"/>
        <v>0.85</v>
      </c>
      <c r="J15" s="19" t="s">
        <v>42</v>
      </c>
      <c r="K15" s="18">
        <f t="shared" si="2"/>
        <v>0.85</v>
      </c>
      <c r="L15" s="19" t="s">
        <v>59</v>
      </c>
      <c r="M15" s="18">
        <f t="shared" si="3"/>
        <v>6.42</v>
      </c>
      <c r="N15" s="19" t="s">
        <v>39</v>
      </c>
      <c r="O15" s="19">
        <f t="shared" si="4"/>
        <v>0.56000000000000005</v>
      </c>
      <c r="P15" s="19" t="s">
        <v>39</v>
      </c>
      <c r="Q15" s="19">
        <f t="shared" si="5"/>
        <v>0.56000000000000005</v>
      </c>
      <c r="R15" s="19" t="s">
        <v>42</v>
      </c>
      <c r="S15" s="19">
        <f t="shared" si="6"/>
        <v>0</v>
      </c>
      <c r="T15" s="20">
        <f t="shared" si="7"/>
        <v>9.0641307750000006</v>
      </c>
      <c r="U15" s="21">
        <f t="shared" si="8"/>
        <v>0.80640000000000001</v>
      </c>
      <c r="V15" s="22">
        <f t="shared" si="9"/>
        <v>5.1770880000000004</v>
      </c>
      <c r="W15" s="22">
        <f t="shared" si="10"/>
        <v>3.8870427750000003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35</v>
      </c>
      <c r="B16" s="19" t="s">
        <v>51</v>
      </c>
      <c r="C16" s="28" t="s">
        <v>87</v>
      </c>
      <c r="D16" s="19" t="s">
        <v>38</v>
      </c>
      <c r="E16" s="18">
        <f t="shared" si="0"/>
        <v>0.85</v>
      </c>
      <c r="F16" s="19" t="s">
        <v>39</v>
      </c>
      <c r="G16" s="18">
        <f t="shared" si="11"/>
        <v>0.44</v>
      </c>
      <c r="H16" s="19" t="s">
        <v>39</v>
      </c>
      <c r="I16" s="18">
        <f t="shared" si="1"/>
        <v>0.27</v>
      </c>
      <c r="J16" s="19" t="s">
        <v>42</v>
      </c>
      <c r="K16" s="18">
        <f t="shared" si="2"/>
        <v>0.85</v>
      </c>
      <c r="L16" s="19" t="s">
        <v>59</v>
      </c>
      <c r="M16" s="18">
        <f t="shared" si="3"/>
        <v>6.42</v>
      </c>
      <c r="N16" s="19" t="s">
        <v>39</v>
      </c>
      <c r="O16" s="19">
        <f t="shared" si="4"/>
        <v>0.56000000000000005</v>
      </c>
      <c r="P16" s="19" t="s">
        <v>42</v>
      </c>
      <c r="Q16" s="19">
        <f t="shared" si="5"/>
        <v>0</v>
      </c>
      <c r="R16" s="19" t="s">
        <v>42</v>
      </c>
      <c r="S16" s="19">
        <f t="shared" si="6"/>
        <v>0</v>
      </c>
      <c r="T16" s="20">
        <f t="shared" si="7"/>
        <v>4.3007472600000005</v>
      </c>
      <c r="U16" s="21">
        <f t="shared" si="8"/>
        <v>0.56000000000000005</v>
      </c>
      <c r="V16" s="22">
        <f t="shared" si="9"/>
        <v>3.5952000000000002</v>
      </c>
      <c r="W16" s="22">
        <f t="shared" si="10"/>
        <v>0.70554726000000001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83</v>
      </c>
      <c r="B17" s="19" t="s">
        <v>36</v>
      </c>
      <c r="C17" s="27" t="s">
        <v>103</v>
      </c>
      <c r="D17" s="19" t="s">
        <v>66</v>
      </c>
      <c r="E17" s="18">
        <f t="shared" si="0"/>
        <v>0.55000000000000004</v>
      </c>
      <c r="F17" s="19" t="s">
        <v>47</v>
      </c>
      <c r="G17" s="18">
        <f t="shared" si="11"/>
        <v>0.77</v>
      </c>
      <c r="H17" s="19" t="s">
        <v>39</v>
      </c>
      <c r="I17" s="18">
        <f t="shared" si="1"/>
        <v>0.5</v>
      </c>
      <c r="J17" s="19" t="s">
        <v>42</v>
      </c>
      <c r="K17" s="18">
        <f t="shared" si="2"/>
        <v>0.85</v>
      </c>
      <c r="L17" s="19" t="s">
        <v>41</v>
      </c>
      <c r="M17" s="18">
        <f t="shared" si="3"/>
        <v>7.52</v>
      </c>
      <c r="N17" s="19" t="s">
        <v>39</v>
      </c>
      <c r="O17" s="19">
        <f t="shared" si="4"/>
        <v>0.56000000000000005</v>
      </c>
      <c r="P17" s="19" t="s">
        <v>39</v>
      </c>
      <c r="Q17" s="19">
        <f t="shared" si="5"/>
        <v>0.56000000000000005</v>
      </c>
      <c r="R17" s="19" t="s">
        <v>39</v>
      </c>
      <c r="S17" s="19">
        <f t="shared" si="6"/>
        <v>0.56000000000000005</v>
      </c>
      <c r="T17" s="20">
        <f t="shared" si="7"/>
        <v>8.1294059608680804</v>
      </c>
      <c r="U17" s="21">
        <f t="shared" si="8"/>
        <v>0.91481600000000007</v>
      </c>
      <c r="V17" s="22">
        <f t="shared" si="9"/>
        <v>6.0477304915445185</v>
      </c>
      <c r="W17" s="22">
        <f t="shared" si="10"/>
        <v>1.4794972500000001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 t="s">
        <v>85</v>
      </c>
      <c r="B18" s="19" t="s">
        <v>44</v>
      </c>
      <c r="C18" s="28" t="s">
        <v>88</v>
      </c>
      <c r="D18" s="19" t="s">
        <v>38</v>
      </c>
      <c r="E18" s="18">
        <f t="shared" si="0"/>
        <v>0.85</v>
      </c>
      <c r="F18" s="19" t="s">
        <v>47</v>
      </c>
      <c r="G18" s="18">
        <f t="shared" si="11"/>
        <v>0.77</v>
      </c>
      <c r="H18" s="19" t="s">
        <v>42</v>
      </c>
      <c r="I18" s="18">
        <f t="shared" si="1"/>
        <v>0.85</v>
      </c>
      <c r="J18" s="19" t="s">
        <v>42</v>
      </c>
      <c r="K18" s="18">
        <f t="shared" si="2"/>
        <v>0.85</v>
      </c>
      <c r="L18" s="19" t="s">
        <v>59</v>
      </c>
      <c r="M18" s="18">
        <f t="shared" si="3"/>
        <v>6.42</v>
      </c>
      <c r="N18" s="19" t="s">
        <v>39</v>
      </c>
      <c r="O18" s="19">
        <f t="shared" si="4"/>
        <v>0.56000000000000005</v>
      </c>
      <c r="P18" s="19" t="s">
        <v>39</v>
      </c>
      <c r="Q18" s="19">
        <f t="shared" si="5"/>
        <v>0.56000000000000005</v>
      </c>
      <c r="R18" s="19" t="s">
        <v>39</v>
      </c>
      <c r="S18" s="19">
        <f t="shared" si="6"/>
        <v>0.56000000000000005</v>
      </c>
      <c r="T18" s="20">
        <f t="shared" si="7"/>
        <v>9.760161495000002</v>
      </c>
      <c r="U18" s="21">
        <f t="shared" si="8"/>
        <v>0.91481600000000007</v>
      </c>
      <c r="V18" s="22">
        <f t="shared" si="9"/>
        <v>5.8731187200000008</v>
      </c>
      <c r="W18" s="22">
        <f t="shared" si="10"/>
        <v>3.8870427750000003</v>
      </c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5.75" customHeight="1">
      <c r="A19" s="17" t="s">
        <v>54</v>
      </c>
      <c r="B19" s="17" t="s">
        <v>73</v>
      </c>
      <c r="C19" s="28" t="s">
        <v>81</v>
      </c>
      <c r="D19" s="17" t="s">
        <v>38</v>
      </c>
      <c r="E19" s="29">
        <f t="shared" si="0"/>
        <v>0.85</v>
      </c>
      <c r="F19" s="17" t="s">
        <v>47</v>
      </c>
      <c r="G19" s="29">
        <f t="shared" si="11"/>
        <v>0.77</v>
      </c>
      <c r="H19" s="17" t="s">
        <v>47</v>
      </c>
      <c r="I19" s="29">
        <f t="shared" si="1"/>
        <v>0.62</v>
      </c>
      <c r="J19" s="17" t="s">
        <v>42</v>
      </c>
      <c r="K19" s="29">
        <f t="shared" si="2"/>
        <v>0.85</v>
      </c>
      <c r="L19" s="17" t="s">
        <v>59</v>
      </c>
      <c r="M19" s="29">
        <f t="shared" si="3"/>
        <v>6.42</v>
      </c>
      <c r="N19" s="17" t="s">
        <v>42</v>
      </c>
      <c r="O19" s="17">
        <f t="shared" si="4"/>
        <v>0</v>
      </c>
      <c r="P19" s="17" t="s">
        <v>39</v>
      </c>
      <c r="Q19" s="17">
        <f t="shared" si="5"/>
        <v>0.56000000000000005</v>
      </c>
      <c r="R19" s="17" t="s">
        <v>42</v>
      </c>
      <c r="S19" s="17">
        <f t="shared" si="6"/>
        <v>0</v>
      </c>
      <c r="T19" s="20">
        <f t="shared" si="7"/>
        <v>6.4304547300000001</v>
      </c>
      <c r="U19" s="21">
        <f t="shared" si="8"/>
        <v>0.56000000000000005</v>
      </c>
      <c r="V19" s="22">
        <f t="shared" si="9"/>
        <v>3.5952000000000002</v>
      </c>
      <c r="W19" s="22">
        <f t="shared" si="10"/>
        <v>2.8352547299999999</v>
      </c>
      <c r="X19" s="29"/>
      <c r="Y19" s="29"/>
      <c r="Z19" s="29"/>
      <c r="AA19" s="29"/>
      <c r="AB19" s="29"/>
      <c r="AC19" s="29"/>
      <c r="AD19" s="29"/>
      <c r="AE19" s="29"/>
      <c r="AF19" s="29"/>
      <c r="AG19" s="30"/>
      <c r="AH19" s="30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>
        <f>SUM(T5:T19)</f>
        <v>109.94703123303186</v>
      </c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9:C10"/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9 P5:P19 R5:R19" xr:uid="{00000000-0002-0000-0900-000000000000}">
      <formula1>"High,Low,None"</formula1>
    </dataValidation>
    <dataValidation type="list" allowBlank="1" showErrorMessage="1" sqref="B5:B19" xr:uid="{00000000-0002-0000-0900-000001000000}">
      <formula1>"Spoofing ,Tampering,Repudiation,Information Disclosure,Denial of Service,Elevation of Privilage"</formula1>
    </dataValidation>
    <dataValidation type="list" allowBlank="1" showErrorMessage="1" sqref="L5:L19" xr:uid="{00000000-0002-0000-0900-000002000000}">
      <formula1>"Unchanged,Changed"</formula1>
    </dataValidation>
    <dataValidation type="list" allowBlank="1" showErrorMessage="1" sqref="F5:F19" xr:uid="{00000000-0002-0000-0900-000003000000}">
      <formula1>"Low,High"</formula1>
    </dataValidation>
    <dataValidation type="list" allowBlank="1" showErrorMessage="1" sqref="D5:D19" xr:uid="{00000000-0002-0000-0900-000004000000}">
      <formula1>"Network,Adjacent Network,Local,Physical"</formula1>
    </dataValidation>
    <dataValidation type="list" allowBlank="1" showErrorMessage="1" sqref="A6 A12:A13 A15:A19" xr:uid="{00000000-0002-0000-09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9" xr:uid="{00000000-0002-0000-0900-000006000000}">
      <formula1>"None,Required"</formula1>
    </dataValidation>
    <dataValidation type="list" allowBlank="1" showErrorMessage="1" sqref="A5 A7:A11 A14" xr:uid="{00000000-0002-0000-09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9" xr:uid="{00000000-0002-0000-0900-000008000000}">
      <formula1>"None,Low,High"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50</v>
      </c>
      <c r="B5" s="17" t="s">
        <v>44</v>
      </c>
      <c r="C5" s="28" t="s">
        <v>55</v>
      </c>
      <c r="D5" s="17" t="s">
        <v>38</v>
      </c>
      <c r="E5" s="29">
        <f t="shared" ref="E5:E11" si="0">IF(D5="Network",0.85,IF(D5="Adjacent Network",0.62,IF(D5="Local",0.55,IF(D5="Physical",0.2,0))))</f>
        <v>0.85</v>
      </c>
      <c r="F5" s="17" t="s">
        <v>39</v>
      </c>
      <c r="G5" s="29">
        <f>IF(F5="Low",0.77,IF(F5="High",0.44,0))</f>
        <v>0.44</v>
      </c>
      <c r="H5" s="17" t="s">
        <v>47</v>
      </c>
      <c r="I5" s="29">
        <f t="shared" ref="I5:I11" si="1">IF(H5="None",0.85,IF(AND(H5="Low",L5="Unchanged"),0.62,IF(AND(H5="Low",L5="Changed"),0.68,IF(AND(H5="High",L5="Changed"),0.5,IF(AND(H5="High",L5="Unchanged"),0.27,0)))))</f>
        <v>0.68</v>
      </c>
      <c r="J5" s="17" t="s">
        <v>40</v>
      </c>
      <c r="K5" s="29">
        <f t="shared" ref="K5:K11" si="2">IF(J5="Required",0.62,IF(J5="None",0.85,0))</f>
        <v>0.62</v>
      </c>
      <c r="L5" s="17" t="s">
        <v>41</v>
      </c>
      <c r="M5" s="29">
        <f t="shared" ref="M5:M11" si="3">IF(L5="Changed",7.52,IF(L5="Unchanged",6.42,0))</f>
        <v>7.52</v>
      </c>
      <c r="N5" s="17" t="s">
        <v>39</v>
      </c>
      <c r="O5" s="17">
        <f t="shared" ref="O5:O11" si="4">IF(N5="High",0.56,IF(N5="Low",0.22,IF(N5="None",0,0)))</f>
        <v>0.56000000000000005</v>
      </c>
      <c r="P5" s="17" t="s">
        <v>42</v>
      </c>
      <c r="Q5" s="17">
        <f t="shared" ref="Q5:Q11" si="5">IF(P5="High",0.56,IF(P5="Low",0.22,IF(P5="None",0,0)))</f>
        <v>0</v>
      </c>
      <c r="R5" s="17" t="s">
        <v>42</v>
      </c>
      <c r="S5" s="17">
        <f t="shared" ref="S5:S11" si="6">IF(R5="High",0.56,IF(R5="Low",0.22,IF(R5="None",0,0)))</f>
        <v>0</v>
      </c>
      <c r="T5" s="20">
        <f t="shared" ref="T5:T11" si="7">IF(V5&lt;=0,0,IF(L5="Unchanged",MIN(W5+V5,10),MIN((W5+V5)*1.08,10)))</f>
        <v>5.7120355715551225</v>
      </c>
      <c r="U5" s="21">
        <f t="shared" ref="U5:U11" si="8">(1-((1-O5)*(1-Q5)*(1-S5)))</f>
        <v>0.56000000000000005</v>
      </c>
      <c r="V5" s="22">
        <f t="shared" ref="V5:V11" si="9">IF(L5="Unchanged",M5*U5,M5*(U5-0.029)-3.25*POWER(U5-0.02,15))</f>
        <v>3.9928053775140029</v>
      </c>
      <c r="W5" s="22">
        <f t="shared" ref="W5:W11" si="10">8.22*E5*G5*I5*K5</f>
        <v>1.2961164479999998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56</v>
      </c>
      <c r="B6" s="17" t="s">
        <v>57</v>
      </c>
      <c r="C6" s="28" t="s">
        <v>58</v>
      </c>
      <c r="D6" s="17" t="s">
        <v>38</v>
      </c>
      <c r="E6" s="29">
        <f t="shared" si="0"/>
        <v>0.85</v>
      </c>
      <c r="F6" s="17" t="s">
        <v>39</v>
      </c>
      <c r="G6" s="29">
        <f>IF(F6="High",0.44,IF(F6="Low",0.77,0))</f>
        <v>0.44</v>
      </c>
      <c r="H6" s="17" t="s">
        <v>42</v>
      </c>
      <c r="I6" s="29">
        <f t="shared" si="1"/>
        <v>0.85</v>
      </c>
      <c r="J6" s="17" t="s">
        <v>40</v>
      </c>
      <c r="K6" s="29">
        <f t="shared" si="2"/>
        <v>0.62</v>
      </c>
      <c r="L6" s="17" t="s">
        <v>59</v>
      </c>
      <c r="M6" s="29">
        <f t="shared" si="3"/>
        <v>6.42</v>
      </c>
      <c r="N6" s="17" t="s">
        <v>42</v>
      </c>
      <c r="O6" s="17">
        <f t="shared" si="4"/>
        <v>0</v>
      </c>
      <c r="P6" s="17" t="s">
        <v>42</v>
      </c>
      <c r="Q6" s="17">
        <f t="shared" si="5"/>
        <v>0</v>
      </c>
      <c r="R6" s="17" t="s">
        <v>39</v>
      </c>
      <c r="S6" s="17">
        <f t="shared" si="6"/>
        <v>0.56000000000000005</v>
      </c>
      <c r="T6" s="20">
        <f t="shared" si="7"/>
        <v>5.2153455600000003</v>
      </c>
      <c r="U6" s="21">
        <f t="shared" si="8"/>
        <v>0.56000000000000005</v>
      </c>
      <c r="V6" s="22">
        <f t="shared" si="9"/>
        <v>3.5952000000000002</v>
      </c>
      <c r="W6" s="22">
        <f t="shared" si="10"/>
        <v>1.6201455599999999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>
      <c r="A7" s="17" t="s">
        <v>93</v>
      </c>
      <c r="B7" s="19" t="s">
        <v>51</v>
      </c>
      <c r="C7" s="27" t="s">
        <v>94</v>
      </c>
      <c r="D7" s="19" t="s">
        <v>38</v>
      </c>
      <c r="E7" s="18">
        <f t="shared" si="0"/>
        <v>0.85</v>
      </c>
      <c r="F7" s="19" t="s">
        <v>47</v>
      </c>
      <c r="G7" s="18">
        <f>IF(F7="Low",0.77,IF(F7="High",0.44,0))</f>
        <v>0.77</v>
      </c>
      <c r="H7" s="19" t="s">
        <v>42</v>
      </c>
      <c r="I7" s="18">
        <f t="shared" si="1"/>
        <v>0.85</v>
      </c>
      <c r="J7" s="19" t="s">
        <v>42</v>
      </c>
      <c r="K7" s="18">
        <f t="shared" si="2"/>
        <v>0.85</v>
      </c>
      <c r="L7" s="19" t="s">
        <v>59</v>
      </c>
      <c r="M7" s="18">
        <f t="shared" si="3"/>
        <v>6.42</v>
      </c>
      <c r="N7" s="19" t="s">
        <v>39</v>
      </c>
      <c r="O7" s="19">
        <f t="shared" si="4"/>
        <v>0.56000000000000005</v>
      </c>
      <c r="P7" s="19" t="s">
        <v>42</v>
      </c>
      <c r="Q7" s="19">
        <f t="shared" si="5"/>
        <v>0</v>
      </c>
      <c r="R7" s="19" t="s">
        <v>42</v>
      </c>
      <c r="S7" s="19">
        <f t="shared" si="6"/>
        <v>0</v>
      </c>
      <c r="T7" s="20">
        <f t="shared" si="7"/>
        <v>7.4822427750000005</v>
      </c>
      <c r="U7" s="21">
        <f t="shared" si="8"/>
        <v>0.56000000000000005</v>
      </c>
      <c r="V7" s="22">
        <f t="shared" si="9"/>
        <v>3.5952000000000002</v>
      </c>
      <c r="W7" s="22">
        <f t="shared" si="10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48</v>
      </c>
      <c r="B8" s="17" t="s">
        <v>44</v>
      </c>
      <c r="C8" s="28" t="s">
        <v>82</v>
      </c>
      <c r="D8" s="19" t="s">
        <v>38</v>
      </c>
      <c r="E8" s="18">
        <f t="shared" si="0"/>
        <v>0.85</v>
      </c>
      <c r="F8" s="19" t="s">
        <v>47</v>
      </c>
      <c r="G8" s="18">
        <f>IF(F8="High",0.44,IF(F8="Low",0.77,0))</f>
        <v>0.77</v>
      </c>
      <c r="H8" s="19" t="s">
        <v>42</v>
      </c>
      <c r="I8" s="18">
        <f t="shared" si="1"/>
        <v>0.85</v>
      </c>
      <c r="J8" s="19" t="s">
        <v>42</v>
      </c>
      <c r="K8" s="18">
        <f t="shared" si="2"/>
        <v>0.85</v>
      </c>
      <c r="L8" s="19" t="s">
        <v>59</v>
      </c>
      <c r="M8" s="18">
        <f t="shared" si="3"/>
        <v>6.42</v>
      </c>
      <c r="N8" s="19" t="s">
        <v>39</v>
      </c>
      <c r="O8" s="19">
        <f t="shared" si="4"/>
        <v>0.56000000000000005</v>
      </c>
      <c r="P8" s="19" t="s">
        <v>39</v>
      </c>
      <c r="Q8" s="19">
        <f t="shared" si="5"/>
        <v>0.56000000000000005</v>
      </c>
      <c r="R8" s="19" t="s">
        <v>39</v>
      </c>
      <c r="S8" s="19">
        <f t="shared" si="6"/>
        <v>0.56000000000000005</v>
      </c>
      <c r="T8" s="20">
        <f t="shared" si="7"/>
        <v>9.760161495000002</v>
      </c>
      <c r="U8" s="21">
        <f t="shared" si="8"/>
        <v>0.91481600000000007</v>
      </c>
      <c r="V8" s="22">
        <f t="shared" si="9"/>
        <v>5.8731187200000008</v>
      </c>
      <c r="W8" s="22">
        <f t="shared" si="10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68</v>
      </c>
      <c r="B9" s="19" t="s">
        <v>51</v>
      </c>
      <c r="C9" s="27" t="s">
        <v>92</v>
      </c>
      <c r="D9" s="19" t="s">
        <v>38</v>
      </c>
      <c r="E9" s="18">
        <f t="shared" si="0"/>
        <v>0.85</v>
      </c>
      <c r="F9" s="19" t="s">
        <v>39</v>
      </c>
      <c r="G9" s="18">
        <f t="shared" ref="G9:G11" si="11">IF(F9="Low",0.77,IF(F9="High",0.44,0))</f>
        <v>0.44</v>
      </c>
      <c r="H9" s="19" t="s">
        <v>42</v>
      </c>
      <c r="I9" s="18">
        <f t="shared" si="1"/>
        <v>0.85</v>
      </c>
      <c r="J9" s="19" t="s">
        <v>40</v>
      </c>
      <c r="K9" s="18">
        <f t="shared" si="2"/>
        <v>0.62</v>
      </c>
      <c r="L9" s="19" t="s">
        <v>59</v>
      </c>
      <c r="M9" s="18">
        <f t="shared" si="3"/>
        <v>6.42</v>
      </c>
      <c r="N9" s="19" t="s">
        <v>47</v>
      </c>
      <c r="O9" s="19">
        <f t="shared" si="4"/>
        <v>0.22</v>
      </c>
      <c r="P9" s="19" t="s">
        <v>42</v>
      </c>
      <c r="Q9" s="19">
        <f t="shared" si="5"/>
        <v>0</v>
      </c>
      <c r="R9" s="19" t="s">
        <v>42</v>
      </c>
      <c r="S9" s="19">
        <f t="shared" si="6"/>
        <v>0</v>
      </c>
      <c r="T9" s="20">
        <f t="shared" si="7"/>
        <v>3.03254556</v>
      </c>
      <c r="U9" s="21">
        <f t="shared" si="8"/>
        <v>0.21999999999999997</v>
      </c>
      <c r="V9" s="22">
        <f t="shared" si="9"/>
        <v>1.4123999999999999</v>
      </c>
      <c r="W9" s="22">
        <f t="shared" si="10"/>
        <v>1.6201455599999999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50</v>
      </c>
      <c r="B10" s="19" t="s">
        <v>36</v>
      </c>
      <c r="C10" s="27" t="s">
        <v>96</v>
      </c>
      <c r="D10" s="19" t="s">
        <v>38</v>
      </c>
      <c r="E10" s="18">
        <f t="shared" si="0"/>
        <v>0.85</v>
      </c>
      <c r="F10" s="19" t="s">
        <v>47</v>
      </c>
      <c r="G10" s="18">
        <f t="shared" si="11"/>
        <v>0.77</v>
      </c>
      <c r="H10" s="19" t="s">
        <v>42</v>
      </c>
      <c r="I10" s="18">
        <f t="shared" si="1"/>
        <v>0.85</v>
      </c>
      <c r="J10" s="19" t="s">
        <v>42</v>
      </c>
      <c r="K10" s="18">
        <f t="shared" si="2"/>
        <v>0.85</v>
      </c>
      <c r="L10" s="19" t="s">
        <v>59</v>
      </c>
      <c r="M10" s="18">
        <f t="shared" si="3"/>
        <v>6.42</v>
      </c>
      <c r="N10" s="19" t="s">
        <v>39</v>
      </c>
      <c r="O10" s="19">
        <f t="shared" si="4"/>
        <v>0.56000000000000005</v>
      </c>
      <c r="P10" s="19" t="s">
        <v>39</v>
      </c>
      <c r="Q10" s="19">
        <f t="shared" si="5"/>
        <v>0.56000000000000005</v>
      </c>
      <c r="R10" s="19" t="s">
        <v>42</v>
      </c>
      <c r="S10" s="19">
        <f t="shared" si="6"/>
        <v>0</v>
      </c>
      <c r="T10" s="20">
        <f t="shared" si="7"/>
        <v>9.0641307750000006</v>
      </c>
      <c r="U10" s="21">
        <f t="shared" si="8"/>
        <v>0.80640000000000001</v>
      </c>
      <c r="V10" s="22">
        <f t="shared" si="9"/>
        <v>5.1770880000000004</v>
      </c>
      <c r="W10" s="22">
        <f t="shared" si="10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97</v>
      </c>
      <c r="B11" s="19" t="s">
        <v>73</v>
      </c>
      <c r="C11" s="27" t="s">
        <v>98</v>
      </c>
      <c r="D11" s="19" t="s">
        <v>66</v>
      </c>
      <c r="E11" s="18">
        <f t="shared" si="0"/>
        <v>0.55000000000000004</v>
      </c>
      <c r="F11" s="19" t="s">
        <v>47</v>
      </c>
      <c r="G11" s="18">
        <f t="shared" si="11"/>
        <v>0.77</v>
      </c>
      <c r="H11" s="19" t="s">
        <v>39</v>
      </c>
      <c r="I11" s="18">
        <f t="shared" si="1"/>
        <v>0.27</v>
      </c>
      <c r="J11" s="19" t="s">
        <v>42</v>
      </c>
      <c r="K11" s="18">
        <f t="shared" si="2"/>
        <v>0.85</v>
      </c>
      <c r="L11" s="19" t="s">
        <v>59</v>
      </c>
      <c r="M11" s="18">
        <f t="shared" si="3"/>
        <v>6.42</v>
      </c>
      <c r="N11" s="19" t="s">
        <v>47</v>
      </c>
      <c r="O11" s="19">
        <f t="shared" si="4"/>
        <v>0.22</v>
      </c>
      <c r="P11" s="19" t="s">
        <v>39</v>
      </c>
      <c r="Q11" s="19">
        <f t="shared" si="5"/>
        <v>0.56000000000000005</v>
      </c>
      <c r="R11" s="19" t="s">
        <v>47</v>
      </c>
      <c r="S11" s="19">
        <f t="shared" si="6"/>
        <v>0.22</v>
      </c>
      <c r="T11" s="20">
        <f t="shared" si="7"/>
        <v>5.5003201950000005</v>
      </c>
      <c r="U11" s="21">
        <f t="shared" si="8"/>
        <v>0.73230400000000007</v>
      </c>
      <c r="V11" s="22">
        <f t="shared" si="9"/>
        <v>4.7013916800000004</v>
      </c>
      <c r="W11" s="22">
        <f t="shared" si="10"/>
        <v>0.79892851500000017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>
        <f>SUM(T5:T11)</f>
        <v>45.766781931555123</v>
      </c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1 P5:P11 R5:R11" xr:uid="{00000000-0002-0000-0A00-000000000000}">
      <formula1>"High,Low,None"</formula1>
    </dataValidation>
    <dataValidation type="list" allowBlank="1" showErrorMessage="1" sqref="B5:B11" xr:uid="{00000000-0002-0000-0A00-000001000000}">
      <formula1>"Spoofing ,Tampering,Repudiation,Information Disclosure,Denial of Service,Elevation of Privilage"</formula1>
    </dataValidation>
    <dataValidation type="list" allowBlank="1" showErrorMessage="1" sqref="L5:L11" xr:uid="{00000000-0002-0000-0A00-000002000000}">
      <formula1>"Unchanged,Changed"</formula1>
    </dataValidation>
    <dataValidation type="list" allowBlank="1" showErrorMessage="1" sqref="F5:F11" xr:uid="{00000000-0002-0000-0A00-000003000000}">
      <formula1>"Low,High"</formula1>
    </dataValidation>
    <dataValidation type="list" allowBlank="1" showErrorMessage="1" sqref="D5:D11" xr:uid="{00000000-0002-0000-0A00-000004000000}">
      <formula1>"Network,Adjacent Network,Local,Physical"</formula1>
    </dataValidation>
    <dataValidation type="list" allowBlank="1" showErrorMessage="1" sqref="A7:A11" xr:uid="{00000000-0002-0000-0A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1" xr:uid="{00000000-0002-0000-0A00-000006000000}">
      <formula1>"None,Required"</formula1>
    </dataValidation>
    <dataValidation type="list" allowBlank="1" showErrorMessage="1" sqref="A5:A6" xr:uid="{00000000-0002-0000-0A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1" xr:uid="{00000000-0002-0000-0A00-000008000000}">
      <formula1>"None,Low,High"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H33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0.8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50</v>
      </c>
      <c r="B5" s="17" t="s">
        <v>44</v>
      </c>
      <c r="C5" s="28" t="s">
        <v>55</v>
      </c>
      <c r="D5" s="17" t="s">
        <v>38</v>
      </c>
      <c r="E5" s="29">
        <f t="shared" ref="E5:E9" si="0">IF(D5="Network",0.85,IF(D5="Adjacent Network",0.62,IF(D5="Local",0.55,IF(D5="Physical",0.2,0))))</f>
        <v>0.85</v>
      </c>
      <c r="F5" s="17" t="s">
        <v>39</v>
      </c>
      <c r="G5" s="29">
        <f>IF(F5="Low",0.77,IF(F5="High",0.44,0))</f>
        <v>0.44</v>
      </c>
      <c r="H5" s="17" t="s">
        <v>47</v>
      </c>
      <c r="I5" s="29">
        <f t="shared" ref="I5:I9" si="1">IF(H5="None",0.85,IF(AND(H5="Low",L5="Unchanged"),0.62,IF(AND(H5="Low",L5="Changed"),0.68,IF(AND(H5="High",L5="Changed"),0.5,IF(AND(H5="High",L5="Unchanged"),0.27,0)))))</f>
        <v>0.68</v>
      </c>
      <c r="J5" s="17" t="s">
        <v>40</v>
      </c>
      <c r="K5" s="29">
        <f t="shared" ref="K5:K9" si="2">IF(J5="Required",0.62,IF(J5="None",0.85,0))</f>
        <v>0.62</v>
      </c>
      <c r="L5" s="17" t="s">
        <v>41</v>
      </c>
      <c r="M5" s="29">
        <f t="shared" ref="M5:M9" si="3">IF(L5="Changed",7.52,IF(L5="Unchanged",6.42,0))</f>
        <v>7.52</v>
      </c>
      <c r="N5" s="17" t="s">
        <v>39</v>
      </c>
      <c r="O5" s="17">
        <f t="shared" ref="O5:O9" si="4">IF(N5="High",0.56,IF(N5="Low",0.22,IF(N5="None",0,0)))</f>
        <v>0.56000000000000005</v>
      </c>
      <c r="P5" s="17" t="s">
        <v>42</v>
      </c>
      <c r="Q5" s="17">
        <f t="shared" ref="Q5:Q9" si="5">IF(P5="High",0.56,IF(P5="Low",0.22,IF(P5="None",0,0)))</f>
        <v>0</v>
      </c>
      <c r="R5" s="17" t="s">
        <v>42</v>
      </c>
      <c r="S5" s="17">
        <f t="shared" ref="S5:S9" si="6">IF(R5="High",0.56,IF(R5="Low",0.22,IF(R5="None",0,0)))</f>
        <v>0</v>
      </c>
      <c r="T5" s="20">
        <f t="shared" ref="T5:T9" si="7">IF(V5&lt;=0,0,IF(L5="Unchanged",MIN(W5+V5,10),MIN((W5+V5)*1.08,10)))</f>
        <v>5.7120355715551225</v>
      </c>
      <c r="U5" s="21">
        <f t="shared" ref="U5:U9" si="8">(1-((1-O5)*(1-Q5)*(1-S5)))</f>
        <v>0.56000000000000005</v>
      </c>
      <c r="V5" s="22">
        <f t="shared" ref="V5:V9" si="9">IF(L5="Unchanged",M5*U5,M5*(U5-0.029)-3.25*POWER(U5-0.02,15))</f>
        <v>3.9928053775140029</v>
      </c>
      <c r="W5" s="22">
        <f t="shared" ref="W5:W9" si="10">8.22*E5*G5*I5*K5</f>
        <v>1.2961164479999998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56</v>
      </c>
      <c r="B6" s="17" t="s">
        <v>57</v>
      </c>
      <c r="C6" s="28" t="s">
        <v>58</v>
      </c>
      <c r="D6" s="17" t="s">
        <v>38</v>
      </c>
      <c r="E6" s="29">
        <f t="shared" si="0"/>
        <v>0.85</v>
      </c>
      <c r="F6" s="17" t="s">
        <v>39</v>
      </c>
      <c r="G6" s="29">
        <f>IF(F6="High",0.44,IF(F6="Low",0.77,0))</f>
        <v>0.44</v>
      </c>
      <c r="H6" s="17" t="s">
        <v>42</v>
      </c>
      <c r="I6" s="29">
        <f t="shared" si="1"/>
        <v>0.85</v>
      </c>
      <c r="J6" s="17" t="s">
        <v>40</v>
      </c>
      <c r="K6" s="29">
        <f t="shared" si="2"/>
        <v>0.62</v>
      </c>
      <c r="L6" s="17" t="s">
        <v>59</v>
      </c>
      <c r="M6" s="29">
        <f t="shared" si="3"/>
        <v>6.42</v>
      </c>
      <c r="N6" s="17" t="s">
        <v>42</v>
      </c>
      <c r="O6" s="17">
        <f t="shared" si="4"/>
        <v>0</v>
      </c>
      <c r="P6" s="17" t="s">
        <v>42</v>
      </c>
      <c r="Q6" s="17">
        <f t="shared" si="5"/>
        <v>0</v>
      </c>
      <c r="R6" s="17" t="s">
        <v>39</v>
      </c>
      <c r="S6" s="17">
        <f t="shared" si="6"/>
        <v>0.56000000000000005</v>
      </c>
      <c r="T6" s="20">
        <f t="shared" si="7"/>
        <v>5.2153455600000003</v>
      </c>
      <c r="U6" s="21">
        <f t="shared" si="8"/>
        <v>0.56000000000000005</v>
      </c>
      <c r="V6" s="22">
        <f t="shared" si="9"/>
        <v>3.5952000000000002</v>
      </c>
      <c r="W6" s="22">
        <f t="shared" si="10"/>
        <v>1.6201455599999999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>
      <c r="A7" s="17" t="s">
        <v>77</v>
      </c>
      <c r="B7" s="17" t="s">
        <v>63</v>
      </c>
      <c r="C7" s="28" t="s">
        <v>78</v>
      </c>
      <c r="D7" s="17" t="s">
        <v>38</v>
      </c>
      <c r="E7" s="29">
        <f t="shared" si="0"/>
        <v>0.85</v>
      </c>
      <c r="F7" s="17" t="s">
        <v>47</v>
      </c>
      <c r="G7" s="29">
        <f t="shared" ref="G7:G9" si="11">IF(F7="Low",0.77,IF(F7="High",0.44,0))</f>
        <v>0.77</v>
      </c>
      <c r="H7" s="17" t="s">
        <v>47</v>
      </c>
      <c r="I7" s="29">
        <f t="shared" si="1"/>
        <v>0.68</v>
      </c>
      <c r="J7" s="17" t="s">
        <v>40</v>
      </c>
      <c r="K7" s="29">
        <f t="shared" si="2"/>
        <v>0.62</v>
      </c>
      <c r="L7" s="17" t="s">
        <v>41</v>
      </c>
      <c r="M7" s="29">
        <f t="shared" si="3"/>
        <v>7.52</v>
      </c>
      <c r="N7" s="17" t="s">
        <v>39</v>
      </c>
      <c r="O7" s="17">
        <f t="shared" si="4"/>
        <v>0.56000000000000005</v>
      </c>
      <c r="P7" s="17" t="s">
        <v>39</v>
      </c>
      <c r="Q7" s="17">
        <f t="shared" si="5"/>
        <v>0.56000000000000005</v>
      </c>
      <c r="R7" s="17" t="s">
        <v>39</v>
      </c>
      <c r="S7" s="17">
        <f t="shared" si="6"/>
        <v>0.56000000000000005</v>
      </c>
      <c r="T7" s="20">
        <f t="shared" si="7"/>
        <v>8.9812090175880819</v>
      </c>
      <c r="U7" s="21">
        <f t="shared" si="8"/>
        <v>0.91481600000000007</v>
      </c>
      <c r="V7" s="22">
        <f t="shared" si="9"/>
        <v>6.0477304915445185</v>
      </c>
      <c r="W7" s="22">
        <f t="shared" si="10"/>
        <v>2.2682037840000002</v>
      </c>
      <c r="X7" s="29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.75" customHeight="1">
      <c r="A8" s="17" t="s">
        <v>54</v>
      </c>
      <c r="B8" s="17" t="s">
        <v>73</v>
      </c>
      <c r="C8" s="28" t="s">
        <v>81</v>
      </c>
      <c r="D8" s="17" t="s">
        <v>38</v>
      </c>
      <c r="E8" s="29">
        <f t="shared" si="0"/>
        <v>0.85</v>
      </c>
      <c r="F8" s="17" t="s">
        <v>47</v>
      </c>
      <c r="G8" s="29">
        <f t="shared" si="11"/>
        <v>0.77</v>
      </c>
      <c r="H8" s="17" t="s">
        <v>47</v>
      </c>
      <c r="I8" s="29">
        <f t="shared" si="1"/>
        <v>0.62</v>
      </c>
      <c r="J8" s="17" t="s">
        <v>42</v>
      </c>
      <c r="K8" s="29">
        <f t="shared" si="2"/>
        <v>0.85</v>
      </c>
      <c r="L8" s="17" t="s">
        <v>59</v>
      </c>
      <c r="M8" s="29">
        <f t="shared" si="3"/>
        <v>6.42</v>
      </c>
      <c r="N8" s="17" t="s">
        <v>42</v>
      </c>
      <c r="O8" s="17">
        <f t="shared" si="4"/>
        <v>0</v>
      </c>
      <c r="P8" s="17" t="s">
        <v>39</v>
      </c>
      <c r="Q8" s="17">
        <f t="shared" si="5"/>
        <v>0.56000000000000005</v>
      </c>
      <c r="R8" s="17" t="s">
        <v>42</v>
      </c>
      <c r="S8" s="17">
        <f t="shared" si="6"/>
        <v>0</v>
      </c>
      <c r="T8" s="20">
        <f t="shared" si="7"/>
        <v>6.4304547300000001</v>
      </c>
      <c r="U8" s="21">
        <f t="shared" si="8"/>
        <v>0.56000000000000005</v>
      </c>
      <c r="V8" s="22">
        <f t="shared" si="9"/>
        <v>3.5952000000000002</v>
      </c>
      <c r="W8" s="22">
        <f t="shared" si="10"/>
        <v>2.8352547299999999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 ht="15.75" customHeight="1">
      <c r="A9" s="17" t="s">
        <v>56</v>
      </c>
      <c r="B9" s="17" t="s">
        <v>63</v>
      </c>
      <c r="C9" s="17" t="s">
        <v>64</v>
      </c>
      <c r="D9" s="17" t="s">
        <v>38</v>
      </c>
      <c r="E9" s="29">
        <f t="shared" si="0"/>
        <v>0.85</v>
      </c>
      <c r="F9" s="17" t="s">
        <v>39</v>
      </c>
      <c r="G9" s="29">
        <f t="shared" si="11"/>
        <v>0.44</v>
      </c>
      <c r="H9" s="17" t="s">
        <v>47</v>
      </c>
      <c r="I9" s="29">
        <f t="shared" si="1"/>
        <v>0.68</v>
      </c>
      <c r="J9" s="17" t="s">
        <v>40</v>
      </c>
      <c r="K9" s="29">
        <f t="shared" si="2"/>
        <v>0.62</v>
      </c>
      <c r="L9" s="17" t="s">
        <v>41</v>
      </c>
      <c r="M9" s="29">
        <f t="shared" si="3"/>
        <v>7.52</v>
      </c>
      <c r="N9" s="17" t="s">
        <v>39</v>
      </c>
      <c r="O9" s="17">
        <f t="shared" si="4"/>
        <v>0.56000000000000005</v>
      </c>
      <c r="P9" s="17" t="s">
        <v>42</v>
      </c>
      <c r="Q9" s="17">
        <f t="shared" si="5"/>
        <v>0</v>
      </c>
      <c r="R9" s="17" t="s">
        <v>42</v>
      </c>
      <c r="S9" s="17">
        <f t="shared" si="6"/>
        <v>0</v>
      </c>
      <c r="T9" s="20">
        <f t="shared" si="7"/>
        <v>5.7120355715551225</v>
      </c>
      <c r="U9" s="21">
        <f t="shared" si="8"/>
        <v>0.56000000000000005</v>
      </c>
      <c r="V9" s="22">
        <f t="shared" si="9"/>
        <v>3.9928053775140029</v>
      </c>
      <c r="W9" s="22">
        <f t="shared" si="10"/>
        <v>1.2961164479999998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 ht="15.75" customHeight="1">
      <c r="T10" s="20">
        <f>SUM(T5:T9)</f>
        <v>32.051080450698329</v>
      </c>
      <c r="U10" s="21"/>
      <c r="V10" s="22"/>
      <c r="W10" s="22"/>
    </row>
    <row r="11" spans="1:34" ht="15.75" customHeight="1">
      <c r="T11" s="20"/>
      <c r="U11" s="21"/>
      <c r="V11" s="22"/>
      <c r="W11" s="22"/>
    </row>
    <row r="12" spans="1:34" ht="15.75" customHeight="1">
      <c r="T12" s="20"/>
      <c r="U12" s="21"/>
      <c r="V12" s="22"/>
      <c r="W12" s="22"/>
    </row>
    <row r="13" spans="1:34" ht="15.75" customHeight="1">
      <c r="T13" s="20"/>
      <c r="U13" s="21"/>
      <c r="V13" s="22"/>
      <c r="W13" s="22"/>
    </row>
    <row r="14" spans="1:34" ht="15.75" customHeight="1">
      <c r="T14" s="20"/>
      <c r="U14" s="21"/>
      <c r="V14" s="22"/>
      <c r="W14" s="22"/>
    </row>
    <row r="15" spans="1:34" ht="15.75" customHeight="1">
      <c r="T15" s="20"/>
      <c r="U15" s="21"/>
      <c r="V15" s="22"/>
      <c r="W15" s="22"/>
    </row>
    <row r="16" spans="1:34" ht="15.75" customHeight="1">
      <c r="T16" s="20"/>
      <c r="U16" s="21"/>
      <c r="V16" s="22"/>
      <c r="W16" s="22"/>
    </row>
    <row r="17" spans="20:23" ht="15.75" customHeight="1">
      <c r="T17" s="20"/>
      <c r="U17" s="21"/>
      <c r="V17" s="22"/>
      <c r="W17" s="22"/>
    </row>
    <row r="18" spans="20:23" ht="15.75" customHeight="1">
      <c r="T18" s="20"/>
      <c r="U18" s="21"/>
      <c r="V18" s="22"/>
      <c r="W18" s="22"/>
    </row>
    <row r="19" spans="20:23" ht="15.75" customHeight="1">
      <c r="T19" s="20"/>
      <c r="U19" s="21"/>
      <c r="V19" s="22"/>
      <c r="W19" s="22"/>
    </row>
    <row r="20" spans="20:23" ht="15.75" customHeight="1">
      <c r="T20" s="20"/>
      <c r="U20" s="21"/>
      <c r="V20" s="22"/>
      <c r="W20" s="22"/>
    </row>
    <row r="21" spans="20:23" ht="15.75" customHeight="1">
      <c r="T21" s="20"/>
      <c r="U21" s="21"/>
      <c r="V21" s="22"/>
      <c r="W21" s="22"/>
    </row>
    <row r="22" spans="20:23" ht="15.75" customHeight="1">
      <c r="T22" s="20"/>
      <c r="U22" s="21"/>
      <c r="V22" s="22"/>
      <c r="W22" s="22"/>
    </row>
    <row r="23" spans="20:23" ht="15.75" customHeight="1">
      <c r="T23" s="20"/>
      <c r="U23" s="21"/>
      <c r="V23" s="22"/>
      <c r="W23" s="22"/>
    </row>
    <row r="24" spans="20:23" ht="15.75" customHeight="1">
      <c r="T24" s="20"/>
      <c r="U24" s="21"/>
      <c r="V24" s="22"/>
      <c r="W24" s="22"/>
    </row>
    <row r="25" spans="20:23" ht="15.75" customHeight="1">
      <c r="T25" s="20"/>
      <c r="U25" s="21"/>
      <c r="V25" s="22"/>
      <c r="W25" s="22"/>
    </row>
    <row r="26" spans="20:23" ht="15.75" customHeight="1">
      <c r="T26" s="20"/>
      <c r="U26" s="21"/>
      <c r="V26" s="22"/>
      <c r="W26" s="22"/>
    </row>
    <row r="27" spans="20:23" ht="15.75" customHeight="1">
      <c r="T27" s="20"/>
      <c r="U27" s="21"/>
      <c r="V27" s="22"/>
      <c r="W27" s="22"/>
    </row>
    <row r="28" spans="20:23" ht="15.75" customHeight="1">
      <c r="T28" s="20"/>
      <c r="U28" s="21"/>
      <c r="V28" s="22"/>
      <c r="W28" s="22"/>
    </row>
    <row r="29" spans="20:23" ht="15.75" customHeight="1">
      <c r="T29" s="20"/>
      <c r="U29" s="21"/>
      <c r="V29" s="22"/>
      <c r="W29" s="22"/>
    </row>
    <row r="30" spans="20:23" ht="15.75" customHeight="1">
      <c r="T30" s="20"/>
      <c r="U30" s="21"/>
      <c r="V30" s="22"/>
      <c r="W30" s="22"/>
    </row>
    <row r="31" spans="20:23" ht="15.75" customHeight="1">
      <c r="T31" s="20"/>
      <c r="U31" s="21"/>
      <c r="V31" s="22"/>
      <c r="W31" s="22"/>
    </row>
    <row r="32" spans="20:23" ht="15.75" customHeight="1">
      <c r="T32" s="20"/>
      <c r="U32" s="21"/>
      <c r="V32" s="22"/>
      <c r="W32" s="22"/>
    </row>
    <row r="33" spans="20:23" ht="15.75" customHeight="1">
      <c r="T33" s="20"/>
      <c r="U33" s="21"/>
      <c r="V33" s="22"/>
      <c r="W33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6" xr:uid="{00000000-0002-0000-0B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9 P5:P9 R5:R9" xr:uid="{00000000-0002-0000-0B00-000001000000}">
      <formula1>"High,Low,None"</formula1>
    </dataValidation>
    <dataValidation type="list" allowBlank="1" showErrorMessage="1" sqref="B5:B9" xr:uid="{00000000-0002-0000-0B00-000002000000}">
      <formula1>"Spoofing ,Tampering,Repudiation,Information Disclosure,Denial of Service,Elevation of Privilage"</formula1>
    </dataValidation>
    <dataValidation type="list" allowBlank="1" showErrorMessage="1" sqref="L5:L9" xr:uid="{00000000-0002-0000-0B00-000003000000}">
      <formula1>"Unchanged,Changed"</formula1>
    </dataValidation>
    <dataValidation type="list" allowBlank="1" showErrorMessage="1" sqref="F5:F9" xr:uid="{00000000-0002-0000-0B00-000004000000}">
      <formula1>"Low,High"</formula1>
    </dataValidation>
    <dataValidation type="list" allowBlank="1" showErrorMessage="1" sqref="D5:D9" xr:uid="{00000000-0002-0000-0B00-000005000000}">
      <formula1>"Network,Adjacent Network,Local,Physical"</formula1>
    </dataValidation>
    <dataValidation type="list" allowBlank="1" showErrorMessage="1" sqref="A8" xr:uid="{00000000-0002-0000-0B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9" xr:uid="{00000000-0002-0000-0B00-000007000000}">
      <formula1>"None,Required"</formula1>
    </dataValidation>
    <dataValidation type="list" allowBlank="1" showErrorMessage="1" sqref="A5 A7 A9" xr:uid="{00000000-0002-0000-0B00-000008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9" xr:uid="{00000000-0002-0000-0B00-000009000000}">
      <formula1>"None,Low,High"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114</v>
      </c>
      <c r="B5" s="17" t="s">
        <v>36</v>
      </c>
      <c r="C5" s="28" t="s">
        <v>61</v>
      </c>
      <c r="D5" s="17" t="s">
        <v>38</v>
      </c>
      <c r="E5" s="29">
        <f t="shared" ref="E5:E13" si="0">IF(D5="Network",0.85,IF(D5="Adjacent Network",0.62,IF(D5="Local",0.55,IF(D5="Physical",0.2,0))))</f>
        <v>0.85</v>
      </c>
      <c r="F5" s="17" t="s">
        <v>47</v>
      </c>
      <c r="G5" s="29">
        <f t="shared" ref="G5:G13" si="1">IF(F5="Low",0.77,IF(F5="High",0.44,0))</f>
        <v>0.77</v>
      </c>
      <c r="H5" s="17" t="s">
        <v>47</v>
      </c>
      <c r="I5" s="29">
        <f t="shared" ref="I5:I13" si="2">IF(H5="None",0.85,IF(AND(H5="Low",L5="Unchanged"),0.62,IF(AND(H5="Low",L5="Changed"),0.68,IF(AND(H5="High",L5="Changed"),0.5,IF(AND(H5="High",L5="Unchanged"),0.27,0)))))</f>
        <v>0.68</v>
      </c>
      <c r="J5" s="17" t="s">
        <v>40</v>
      </c>
      <c r="K5" s="29">
        <f t="shared" ref="K5:K13" si="3">IF(J5="Required",0.62,IF(J5="None",0.85,0))</f>
        <v>0.62</v>
      </c>
      <c r="L5" s="17" t="s">
        <v>41</v>
      </c>
      <c r="M5" s="29">
        <f t="shared" ref="M5:M13" si="4">IF(L5="Changed",7.52,IF(L5="Unchanged",6.42,0))</f>
        <v>7.52</v>
      </c>
      <c r="N5" s="17" t="s">
        <v>39</v>
      </c>
      <c r="O5" s="17">
        <f t="shared" ref="O5:O13" si="5">IF(N5="High",0.56,IF(N5="Low",0.22,IF(N5="None",0,0)))</f>
        <v>0.56000000000000005</v>
      </c>
      <c r="P5" s="17" t="s">
        <v>39</v>
      </c>
      <c r="Q5" s="17">
        <f t="shared" ref="Q5:Q13" si="6">IF(P5="High",0.56,IF(P5="Low",0.22,IF(P5="None",0,0)))</f>
        <v>0.56000000000000005</v>
      </c>
      <c r="R5" s="17" t="s">
        <v>42</v>
      </c>
      <c r="S5" s="17">
        <f t="shared" ref="S5:S13" si="7">IF(R5="High",0.56,IF(R5="Low",0.22,IF(R5="None",0,0)))</f>
        <v>0</v>
      </c>
      <c r="T5" s="20">
        <f t="shared" ref="T5:T13" si="8">IF(V5&lt;=0,0,IF(L5="Unchanged",MIN(W5+V5,10),MIN((W5+V5)*1.08,10)))</f>
        <v>8.6679015319386874</v>
      </c>
      <c r="U5" s="21">
        <f t="shared" ref="U5:U13" si="9">(1-((1-O5)*(1-Q5)*(1-S5)))</f>
        <v>0.80640000000000001</v>
      </c>
      <c r="V5" s="22">
        <f t="shared" ref="V5:V13" si="10">IF(L5="Unchanged",M5*U5,M5*(U5-0.029)-3.25*POWER(U5-0.02,15))</f>
        <v>5.7576309677950803</v>
      </c>
      <c r="W5" s="22">
        <f t="shared" ref="W5:W13" si="11">8.22*E5*G5*I5*K5</f>
        <v>2.2682037840000002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50</v>
      </c>
      <c r="B6" s="17" t="s">
        <v>44</v>
      </c>
      <c r="C6" s="28" t="s">
        <v>55</v>
      </c>
      <c r="D6" s="17" t="s">
        <v>38</v>
      </c>
      <c r="E6" s="29">
        <f t="shared" si="0"/>
        <v>0.85</v>
      </c>
      <c r="F6" s="17" t="s">
        <v>39</v>
      </c>
      <c r="G6" s="29">
        <f t="shared" si="1"/>
        <v>0.44</v>
      </c>
      <c r="H6" s="17" t="s">
        <v>47</v>
      </c>
      <c r="I6" s="29">
        <f t="shared" si="2"/>
        <v>0.68</v>
      </c>
      <c r="J6" s="17" t="s">
        <v>40</v>
      </c>
      <c r="K6" s="29">
        <f t="shared" si="3"/>
        <v>0.62</v>
      </c>
      <c r="L6" s="17" t="s">
        <v>41</v>
      </c>
      <c r="M6" s="29">
        <f t="shared" si="4"/>
        <v>7.52</v>
      </c>
      <c r="N6" s="17" t="s">
        <v>39</v>
      </c>
      <c r="O6" s="17">
        <f t="shared" si="5"/>
        <v>0.56000000000000005</v>
      </c>
      <c r="P6" s="17" t="s">
        <v>42</v>
      </c>
      <c r="Q6" s="17">
        <f t="shared" si="6"/>
        <v>0</v>
      </c>
      <c r="R6" s="17" t="s">
        <v>42</v>
      </c>
      <c r="S6" s="17">
        <f t="shared" si="7"/>
        <v>0</v>
      </c>
      <c r="T6" s="20">
        <f t="shared" si="8"/>
        <v>5.7120355715551225</v>
      </c>
      <c r="U6" s="21">
        <f t="shared" si="9"/>
        <v>0.56000000000000005</v>
      </c>
      <c r="V6" s="22">
        <f t="shared" si="10"/>
        <v>3.9928053775140029</v>
      </c>
      <c r="W6" s="22">
        <f t="shared" si="11"/>
        <v>1.2961164479999998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>
      <c r="A7" s="17" t="s">
        <v>104</v>
      </c>
      <c r="B7" s="17" t="s">
        <v>63</v>
      </c>
      <c r="C7" s="28" t="s">
        <v>78</v>
      </c>
      <c r="D7" s="17" t="s">
        <v>38</v>
      </c>
      <c r="E7" s="29">
        <f t="shared" si="0"/>
        <v>0.85</v>
      </c>
      <c r="F7" s="17" t="s">
        <v>47</v>
      </c>
      <c r="G7" s="29">
        <f t="shared" si="1"/>
        <v>0.77</v>
      </c>
      <c r="H7" s="17" t="s">
        <v>47</v>
      </c>
      <c r="I7" s="29">
        <f t="shared" si="2"/>
        <v>0.68</v>
      </c>
      <c r="J7" s="17" t="s">
        <v>40</v>
      </c>
      <c r="K7" s="29">
        <f t="shared" si="3"/>
        <v>0.62</v>
      </c>
      <c r="L7" s="17" t="s">
        <v>41</v>
      </c>
      <c r="M7" s="29">
        <f t="shared" si="4"/>
        <v>7.52</v>
      </c>
      <c r="N7" s="17" t="s">
        <v>39</v>
      </c>
      <c r="O7" s="17">
        <f t="shared" si="5"/>
        <v>0.56000000000000005</v>
      </c>
      <c r="P7" s="17" t="s">
        <v>39</v>
      </c>
      <c r="Q7" s="17">
        <f t="shared" si="6"/>
        <v>0.56000000000000005</v>
      </c>
      <c r="R7" s="17" t="s">
        <v>39</v>
      </c>
      <c r="S7" s="17">
        <f t="shared" si="7"/>
        <v>0.56000000000000005</v>
      </c>
      <c r="T7" s="20">
        <f t="shared" si="8"/>
        <v>8.9812090175880819</v>
      </c>
      <c r="U7" s="21">
        <f t="shared" si="9"/>
        <v>0.91481600000000007</v>
      </c>
      <c r="V7" s="22">
        <f t="shared" si="10"/>
        <v>6.0477304915445185</v>
      </c>
      <c r="W7" s="22">
        <f t="shared" si="11"/>
        <v>2.2682037840000002</v>
      </c>
      <c r="X7" s="29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.75" customHeight="1">
      <c r="A8" s="17" t="s">
        <v>56</v>
      </c>
      <c r="B8" s="17" t="s">
        <v>63</v>
      </c>
      <c r="C8" s="17" t="s">
        <v>64</v>
      </c>
      <c r="D8" s="17" t="s">
        <v>38</v>
      </c>
      <c r="E8" s="29">
        <f t="shared" si="0"/>
        <v>0.85</v>
      </c>
      <c r="F8" s="17" t="s">
        <v>39</v>
      </c>
      <c r="G8" s="29">
        <f t="shared" si="1"/>
        <v>0.44</v>
      </c>
      <c r="H8" s="17" t="s">
        <v>47</v>
      </c>
      <c r="I8" s="29">
        <f t="shared" si="2"/>
        <v>0.68</v>
      </c>
      <c r="J8" s="17" t="s">
        <v>40</v>
      </c>
      <c r="K8" s="29">
        <f t="shared" si="3"/>
        <v>0.62</v>
      </c>
      <c r="L8" s="17" t="s">
        <v>41</v>
      </c>
      <c r="M8" s="29">
        <f t="shared" si="4"/>
        <v>7.52</v>
      </c>
      <c r="N8" s="17" t="s">
        <v>39</v>
      </c>
      <c r="O8" s="17">
        <f t="shared" si="5"/>
        <v>0.56000000000000005</v>
      </c>
      <c r="P8" s="17" t="s">
        <v>42</v>
      </c>
      <c r="Q8" s="17">
        <f t="shared" si="6"/>
        <v>0</v>
      </c>
      <c r="R8" s="17" t="s">
        <v>42</v>
      </c>
      <c r="S8" s="17">
        <f t="shared" si="7"/>
        <v>0</v>
      </c>
      <c r="T8" s="20">
        <f t="shared" si="8"/>
        <v>5.7120355715551225</v>
      </c>
      <c r="U8" s="21">
        <f t="shared" si="9"/>
        <v>0.56000000000000005</v>
      </c>
      <c r="V8" s="22">
        <f t="shared" si="10"/>
        <v>3.9928053775140029</v>
      </c>
      <c r="W8" s="22">
        <f t="shared" si="11"/>
        <v>1.2961164479999998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>
      <c r="A9" s="17" t="s">
        <v>48</v>
      </c>
      <c r="B9" s="19" t="s">
        <v>63</v>
      </c>
      <c r="C9" s="27" t="s">
        <v>123</v>
      </c>
      <c r="D9" s="19" t="s">
        <v>38</v>
      </c>
      <c r="E9" s="18">
        <f t="shared" si="0"/>
        <v>0.85</v>
      </c>
      <c r="F9" s="19" t="s">
        <v>47</v>
      </c>
      <c r="G9" s="18">
        <f t="shared" si="1"/>
        <v>0.77</v>
      </c>
      <c r="H9" s="19" t="s">
        <v>42</v>
      </c>
      <c r="I9" s="18">
        <f t="shared" si="2"/>
        <v>0.85</v>
      </c>
      <c r="J9" s="19" t="s">
        <v>42</v>
      </c>
      <c r="K9" s="18">
        <f t="shared" si="3"/>
        <v>0.85</v>
      </c>
      <c r="L9" s="19" t="s">
        <v>41</v>
      </c>
      <c r="M9" s="18">
        <f t="shared" si="4"/>
        <v>7.52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39</v>
      </c>
      <c r="S9" s="19">
        <f t="shared" si="7"/>
        <v>0.56000000000000005</v>
      </c>
      <c r="T9" s="20">
        <f t="shared" si="8"/>
        <v>10</v>
      </c>
      <c r="U9" s="21">
        <f t="shared" si="9"/>
        <v>0.91481600000000007</v>
      </c>
      <c r="V9" s="22">
        <f t="shared" si="10"/>
        <v>6.0477304915445185</v>
      </c>
      <c r="W9" s="22">
        <f t="shared" si="11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48</v>
      </c>
      <c r="B10" s="19" t="s">
        <v>51</v>
      </c>
      <c r="C10" s="27" t="s">
        <v>79</v>
      </c>
      <c r="D10" s="19" t="s">
        <v>38</v>
      </c>
      <c r="E10" s="18">
        <f t="shared" si="0"/>
        <v>0.85</v>
      </c>
      <c r="F10" s="19" t="s">
        <v>47</v>
      </c>
      <c r="G10" s="18">
        <f t="shared" si="1"/>
        <v>0.77</v>
      </c>
      <c r="H10" s="19" t="s">
        <v>42</v>
      </c>
      <c r="I10" s="18">
        <f t="shared" si="2"/>
        <v>0.85</v>
      </c>
      <c r="J10" s="19" t="s">
        <v>42</v>
      </c>
      <c r="K10" s="18">
        <f t="shared" si="3"/>
        <v>0.85</v>
      </c>
      <c r="L10" s="19" t="s">
        <v>59</v>
      </c>
      <c r="M10" s="18">
        <f t="shared" si="4"/>
        <v>6.42</v>
      </c>
      <c r="N10" s="19" t="s">
        <v>39</v>
      </c>
      <c r="O10" s="19">
        <f t="shared" si="5"/>
        <v>0.56000000000000005</v>
      </c>
      <c r="P10" s="19" t="s">
        <v>42</v>
      </c>
      <c r="Q10" s="19">
        <f t="shared" si="6"/>
        <v>0</v>
      </c>
      <c r="R10" s="19" t="s">
        <v>42</v>
      </c>
      <c r="S10" s="19">
        <f t="shared" si="7"/>
        <v>0</v>
      </c>
      <c r="T10" s="20">
        <f t="shared" si="8"/>
        <v>7.4822427750000005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50</v>
      </c>
      <c r="B11" s="19" t="s">
        <v>51</v>
      </c>
      <c r="C11" s="27" t="s">
        <v>124</v>
      </c>
      <c r="D11" s="19" t="s">
        <v>38</v>
      </c>
      <c r="E11" s="18">
        <f t="shared" si="0"/>
        <v>0.85</v>
      </c>
      <c r="F11" s="19" t="s">
        <v>47</v>
      </c>
      <c r="G11" s="18">
        <f t="shared" si="1"/>
        <v>0.77</v>
      </c>
      <c r="H11" s="19" t="s">
        <v>42</v>
      </c>
      <c r="I11" s="18">
        <f t="shared" si="2"/>
        <v>0.85</v>
      </c>
      <c r="J11" s="19" t="s">
        <v>40</v>
      </c>
      <c r="K11" s="18">
        <f t="shared" si="3"/>
        <v>0.62</v>
      </c>
      <c r="L11" s="19" t="s">
        <v>59</v>
      </c>
      <c r="M11" s="18">
        <f t="shared" si="4"/>
        <v>6.42</v>
      </c>
      <c r="N11" s="19" t="s">
        <v>39</v>
      </c>
      <c r="O11" s="19">
        <f t="shared" si="5"/>
        <v>0.56000000000000005</v>
      </c>
      <c r="P11" s="19" t="s">
        <v>42</v>
      </c>
      <c r="Q11" s="19">
        <f t="shared" si="6"/>
        <v>0</v>
      </c>
      <c r="R11" s="19" t="s">
        <v>42</v>
      </c>
      <c r="S11" s="19">
        <f t="shared" si="7"/>
        <v>0</v>
      </c>
      <c r="T11" s="20">
        <f t="shared" si="8"/>
        <v>6.430454730000001</v>
      </c>
      <c r="U11" s="21">
        <f t="shared" si="9"/>
        <v>0.56000000000000005</v>
      </c>
      <c r="V11" s="22">
        <f t="shared" si="10"/>
        <v>3.5952000000000002</v>
      </c>
      <c r="W11" s="22">
        <f t="shared" si="11"/>
        <v>2.8352547300000004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77</v>
      </c>
      <c r="B12" s="17" t="s">
        <v>63</v>
      </c>
      <c r="C12" s="28" t="s">
        <v>78</v>
      </c>
      <c r="D12" s="17" t="s">
        <v>38</v>
      </c>
      <c r="E12" s="29">
        <f t="shared" si="0"/>
        <v>0.85</v>
      </c>
      <c r="F12" s="17" t="s">
        <v>47</v>
      </c>
      <c r="G12" s="29">
        <f t="shared" si="1"/>
        <v>0.77</v>
      </c>
      <c r="H12" s="17" t="s">
        <v>47</v>
      </c>
      <c r="I12" s="29">
        <f t="shared" si="2"/>
        <v>0.68</v>
      </c>
      <c r="J12" s="17" t="s">
        <v>40</v>
      </c>
      <c r="K12" s="29">
        <f t="shared" si="3"/>
        <v>0.62</v>
      </c>
      <c r="L12" s="17" t="s">
        <v>41</v>
      </c>
      <c r="M12" s="29">
        <f t="shared" si="4"/>
        <v>7.52</v>
      </c>
      <c r="N12" s="17" t="s">
        <v>39</v>
      </c>
      <c r="O12" s="17">
        <f t="shared" si="5"/>
        <v>0.56000000000000005</v>
      </c>
      <c r="P12" s="17" t="s">
        <v>39</v>
      </c>
      <c r="Q12" s="17">
        <f t="shared" si="6"/>
        <v>0.56000000000000005</v>
      </c>
      <c r="R12" s="17" t="s">
        <v>39</v>
      </c>
      <c r="S12" s="17">
        <f t="shared" si="7"/>
        <v>0.56000000000000005</v>
      </c>
      <c r="T12" s="20">
        <f t="shared" si="8"/>
        <v>8.9812090175880819</v>
      </c>
      <c r="U12" s="21">
        <f t="shared" si="9"/>
        <v>0.91481600000000007</v>
      </c>
      <c r="V12" s="22">
        <f t="shared" si="10"/>
        <v>6.0477304915445185</v>
      </c>
      <c r="W12" s="22">
        <f t="shared" si="11"/>
        <v>2.2682037840000002</v>
      </c>
      <c r="X12" s="29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50</v>
      </c>
      <c r="B13" s="19" t="s">
        <v>57</v>
      </c>
      <c r="C13" s="27" t="s">
        <v>80</v>
      </c>
      <c r="D13" s="19" t="s">
        <v>66</v>
      </c>
      <c r="E13" s="18">
        <f t="shared" si="0"/>
        <v>0.55000000000000004</v>
      </c>
      <c r="F13" s="19" t="s">
        <v>47</v>
      </c>
      <c r="G13" s="18">
        <f t="shared" si="1"/>
        <v>0.77</v>
      </c>
      <c r="H13" s="19" t="s">
        <v>39</v>
      </c>
      <c r="I13" s="18">
        <f t="shared" si="2"/>
        <v>0.5</v>
      </c>
      <c r="J13" s="19" t="s">
        <v>42</v>
      </c>
      <c r="K13" s="18">
        <f t="shared" si="3"/>
        <v>0.85</v>
      </c>
      <c r="L13" s="19" t="s">
        <v>41</v>
      </c>
      <c r="M13" s="18">
        <f t="shared" si="4"/>
        <v>7.52</v>
      </c>
      <c r="N13" s="19" t="s">
        <v>39</v>
      </c>
      <c r="O13" s="19">
        <f t="shared" si="5"/>
        <v>0.56000000000000005</v>
      </c>
      <c r="P13" s="19" t="s">
        <v>39</v>
      </c>
      <c r="Q13" s="19">
        <f t="shared" si="6"/>
        <v>0.56000000000000005</v>
      </c>
      <c r="R13" s="19" t="s">
        <v>39</v>
      </c>
      <c r="S13" s="19">
        <f t="shared" si="7"/>
        <v>0.56000000000000005</v>
      </c>
      <c r="T13" s="20">
        <f t="shared" si="8"/>
        <v>8.1294059608680804</v>
      </c>
      <c r="U13" s="21">
        <f t="shared" si="9"/>
        <v>0.91481600000000007</v>
      </c>
      <c r="V13" s="22">
        <f t="shared" si="10"/>
        <v>6.0477304915445185</v>
      </c>
      <c r="W13" s="22">
        <f t="shared" si="11"/>
        <v>1.4794972500000001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45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>
        <f>SUM(T5:T13)</f>
        <v>70.096494176093188</v>
      </c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45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45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83</v>
      </c>
      <c r="B17" s="19" t="s">
        <v>51</v>
      </c>
      <c r="C17" s="27" t="s">
        <v>125</v>
      </c>
      <c r="D17" s="19" t="s">
        <v>66</v>
      </c>
      <c r="E17" s="18">
        <f>IF(D17="Network",0.85,IF(D17="Adjacent Network",0.62,IF(D17="Local",0.55,IF(D17="Physical",0.2,0))))</f>
        <v>0.55000000000000004</v>
      </c>
      <c r="F17" s="19" t="s">
        <v>47</v>
      </c>
      <c r="G17" s="18">
        <f>IF(F17="Low",0.77,IF(F17="High",0.44,0))</f>
        <v>0.77</v>
      </c>
      <c r="H17" s="19" t="s">
        <v>47</v>
      </c>
      <c r="I17" s="18">
        <f>IF(H17="None",0.85,IF(AND(H17="Low",L17="Unchanged"),0.62,IF(AND(H17="Low",L17="Changed"),0.68,IF(AND(H17="High",L17="Changed"),0.5,IF(AND(H17="High",L17="Unchanged"),0.27,0)))))</f>
        <v>0.62</v>
      </c>
      <c r="J17" s="19" t="s">
        <v>42</v>
      </c>
      <c r="K17" s="18">
        <f>IF(J17="Required",0.62,IF(J17="None",0.85,0))</f>
        <v>0.85</v>
      </c>
      <c r="L17" s="19" t="s">
        <v>59</v>
      </c>
      <c r="M17" s="18">
        <f>IF(L17="Changed",7.52,IF(L17="Unchanged",6.42,0))</f>
        <v>6.42</v>
      </c>
      <c r="N17" s="19" t="s">
        <v>39</v>
      </c>
      <c r="O17" s="19">
        <f>IF(N17="High",0.56,IF(N17="Low",0.22,IF(N17="None",0,0)))</f>
        <v>0.56000000000000005</v>
      </c>
      <c r="P17" s="19" t="s">
        <v>42</v>
      </c>
      <c r="Q17" s="19">
        <f>IF(P17="High",0.56,IF(P17="Low",0.22,IF(P17="None",0,0)))</f>
        <v>0</v>
      </c>
      <c r="R17" s="19" t="s">
        <v>42</v>
      </c>
      <c r="S17" s="19">
        <f>IF(R17="High",0.56,IF(R17="Low",0.22,IF(R17="None",0,0)))</f>
        <v>0</v>
      </c>
      <c r="T17" s="20">
        <f>IF(V17&lt;=0,0,IF(L17="Unchanged",MIN(W17+V17,10),MIN((W17+V17)*1.08,10)))</f>
        <v>5.4297765900000003</v>
      </c>
      <c r="U17" s="21">
        <f>(1-((1-O17)*(1-Q17)*(1-S17)))</f>
        <v>0.56000000000000005</v>
      </c>
      <c r="V17" s="22">
        <f>IF(L17="Unchanged",M17*U17,M17*(U17-0.029)-3.25*POWER(U17-0.02,15))</f>
        <v>3.5952000000000002</v>
      </c>
      <c r="W17" s="22">
        <f>8.22*E17*G17*I17*K17</f>
        <v>1.8345765900000002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45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>
        <f>SUM(T17)</f>
        <v>5.4297765900000003</v>
      </c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45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45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4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45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45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45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45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45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45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46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46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5" xr:uid="{00000000-0002-0000-0C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3 P5:P13 R5:R13 N17 P17 R17" xr:uid="{00000000-0002-0000-0C00-000001000000}">
      <formula1>"High,Low,None"</formula1>
    </dataValidation>
    <dataValidation type="list" allowBlank="1" showErrorMessage="1" sqref="B5:B13 B17" xr:uid="{00000000-0002-0000-0C00-000002000000}">
      <formula1>"Spoofing ,Tampering,Repudiation,Information Disclosure,Denial of Service,Elevation of Privilage"</formula1>
    </dataValidation>
    <dataValidation type="list" allowBlank="1" showErrorMessage="1" sqref="L5:L13 L17" xr:uid="{00000000-0002-0000-0C00-000003000000}">
      <formula1>"Unchanged,Changed"</formula1>
    </dataValidation>
    <dataValidation type="list" allowBlank="1" showErrorMessage="1" sqref="F5:F13 F17" xr:uid="{00000000-0002-0000-0C00-000004000000}">
      <formula1>"Low,High"</formula1>
    </dataValidation>
    <dataValidation type="list" allowBlank="1" showErrorMessage="1" sqref="D5:D13 D17" xr:uid="{00000000-0002-0000-0C00-000005000000}">
      <formula1>"Network,Adjacent Network,Local,Physical"</formula1>
    </dataValidation>
    <dataValidation type="list" allowBlank="1" showErrorMessage="1" sqref="A9:A11 A13 A17" xr:uid="{00000000-0002-0000-0C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3 J17" xr:uid="{00000000-0002-0000-0C00-000007000000}">
      <formula1>"None,Required"</formula1>
    </dataValidation>
    <dataValidation type="list" allowBlank="1" showErrorMessage="1" sqref="H5:H13 H17" xr:uid="{00000000-0002-0000-0C00-000008000000}">
      <formula1>"None,Low,High"</formula1>
    </dataValidation>
    <dataValidation type="list" allowBlank="1" showErrorMessage="1" sqref="A6:A8 A12" xr:uid="{00000000-0002-0000-0C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1.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48</v>
      </c>
      <c r="B5" s="19" t="s">
        <v>44</v>
      </c>
      <c r="C5" s="19" t="s">
        <v>49</v>
      </c>
      <c r="D5" s="19" t="s">
        <v>46</v>
      </c>
      <c r="E5" s="18">
        <f t="shared" ref="E5:E14" si="0">IF(D5="Network",0.85,IF(D5="Adjacent Network",0.62,IF(D5="Local",0.55,IF(D5="Physical",0.2,0))))</f>
        <v>0.62</v>
      </c>
      <c r="F5" s="19" t="s">
        <v>39</v>
      </c>
      <c r="G5" s="18">
        <f t="shared" ref="G5:G9" si="1">IF(F5="Low",0.77,IF(F5="High",0.44,0))</f>
        <v>0.44</v>
      </c>
      <c r="H5" s="19" t="s">
        <v>47</v>
      </c>
      <c r="I5" s="18">
        <f t="shared" ref="I5:I14" si="2">IF(H5="None",0.85,IF(AND(H5="Low",L5="Unchanged"),0.62,IF(AND(H5="Low",L5="Changed"),0.68,IF(AND(H5="High",L5="Changed"),0.5,IF(AND(H5="High",L5="Unchanged"),0.27,0)))))</f>
        <v>0.68</v>
      </c>
      <c r="J5" s="19" t="s">
        <v>40</v>
      </c>
      <c r="K5" s="18">
        <f t="shared" ref="K5:K14" si="3">IF(J5="Required",0.62,IF(J5="None",0.85,0))</f>
        <v>0.62</v>
      </c>
      <c r="L5" s="19" t="s">
        <v>41</v>
      </c>
      <c r="M5" s="18">
        <f t="shared" ref="M5:M14" si="4">IF(L5="Changed",7.52,IF(L5="Unchanged",6.42,0))</f>
        <v>7.52</v>
      </c>
      <c r="N5" s="19" t="s">
        <v>39</v>
      </c>
      <c r="O5" s="19">
        <f t="shared" ref="O5:O14" si="5">IF(N5="High",0.56,IF(N5="Low",0.22,IF(N5="None",0,0)))</f>
        <v>0.56000000000000005</v>
      </c>
      <c r="P5" s="19" t="s">
        <v>39</v>
      </c>
      <c r="Q5" s="19">
        <f t="shared" ref="Q5:Q14" si="6">IF(P5="High",0.56,IF(P5="Low",0.22,IF(P5="None",0,0)))</f>
        <v>0.56000000000000005</v>
      </c>
      <c r="R5" s="19" t="s">
        <v>39</v>
      </c>
      <c r="S5" s="19">
        <f t="shared" ref="S5:S14" si="7">IF(R5="High",0.56,IF(R5="Low",0.22,IF(R5="None",0,0)))</f>
        <v>0.56000000000000005</v>
      </c>
      <c r="T5" s="20">
        <f t="shared" ref="T5:T14" si="8">IF(V5&lt;=0,0,IF(L5="Unchanged",MIN(W5+V5,10),MIN((W5+V5)*1.08,10)))</f>
        <v>7.5525837233160802</v>
      </c>
      <c r="U5" s="21">
        <f t="shared" ref="U5:U14" si="9">(1-((1-O5)*(1-Q5)*(1-S5)))</f>
        <v>0.91481600000000007</v>
      </c>
      <c r="V5" s="22">
        <f t="shared" ref="V5:V14" si="10">IF(L5="Unchanged",M5*U5,M5*(U5-0.029)-3.25*POWER(U5-0.02,15))</f>
        <v>6.0477304915445185</v>
      </c>
      <c r="W5" s="22">
        <f t="shared" ref="W5:W14" si="11">8.22*E5*G5*I5*K5</f>
        <v>0.94540258560000001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43</v>
      </c>
      <c r="B6" s="19" t="s">
        <v>44</v>
      </c>
      <c r="C6" s="19" t="s">
        <v>95</v>
      </c>
      <c r="D6" s="19" t="s">
        <v>46</v>
      </c>
      <c r="E6" s="18">
        <f t="shared" si="0"/>
        <v>0.62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47</v>
      </c>
      <c r="O6" s="19">
        <f t="shared" si="5"/>
        <v>0.22</v>
      </c>
      <c r="P6" s="19" t="s">
        <v>47</v>
      </c>
      <c r="Q6" s="19">
        <f t="shared" si="6"/>
        <v>0.22</v>
      </c>
      <c r="R6" s="19" t="s">
        <v>42</v>
      </c>
      <c r="S6" s="19">
        <f t="shared" si="7"/>
        <v>0</v>
      </c>
      <c r="T6" s="20">
        <f t="shared" si="8"/>
        <v>5.1784045198243218</v>
      </c>
      <c r="U6" s="21">
        <f t="shared" si="9"/>
        <v>0.39159999999999995</v>
      </c>
      <c r="V6" s="22">
        <f t="shared" si="10"/>
        <v>2.7267508438373347</v>
      </c>
      <c r="W6" s="22">
        <f t="shared" si="11"/>
        <v>2.0680681560000003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50</v>
      </c>
      <c r="B7" s="19" t="s">
        <v>36</v>
      </c>
      <c r="C7" s="19" t="s">
        <v>96</v>
      </c>
      <c r="D7" s="19" t="s">
        <v>38</v>
      </c>
      <c r="E7" s="18">
        <f t="shared" si="0"/>
        <v>0.85</v>
      </c>
      <c r="F7" s="19" t="s">
        <v>47</v>
      </c>
      <c r="G7" s="18">
        <f t="shared" si="1"/>
        <v>0.77</v>
      </c>
      <c r="H7" s="19" t="s">
        <v>42</v>
      </c>
      <c r="I7" s="18">
        <f t="shared" si="2"/>
        <v>0.85</v>
      </c>
      <c r="J7" s="19" t="s">
        <v>42</v>
      </c>
      <c r="K7" s="18">
        <f t="shared" si="3"/>
        <v>0.85</v>
      </c>
      <c r="L7" s="19" t="s">
        <v>59</v>
      </c>
      <c r="M7" s="18">
        <f t="shared" si="4"/>
        <v>6.42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9.0641307750000006</v>
      </c>
      <c r="U7" s="21">
        <f t="shared" si="9"/>
        <v>0.80640000000000001</v>
      </c>
      <c r="V7" s="22">
        <f t="shared" si="10"/>
        <v>5.1770880000000004</v>
      </c>
      <c r="W7" s="22">
        <f t="shared" si="11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97</v>
      </c>
      <c r="B8" s="19" t="s">
        <v>73</v>
      </c>
      <c r="C8" s="19" t="s">
        <v>98</v>
      </c>
      <c r="D8" s="19" t="s">
        <v>66</v>
      </c>
      <c r="E8" s="18">
        <f t="shared" si="0"/>
        <v>0.55000000000000004</v>
      </c>
      <c r="F8" s="19" t="s">
        <v>47</v>
      </c>
      <c r="G8" s="18">
        <f t="shared" si="1"/>
        <v>0.77</v>
      </c>
      <c r="H8" s="19" t="s">
        <v>39</v>
      </c>
      <c r="I8" s="18">
        <f t="shared" si="2"/>
        <v>0.27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47</v>
      </c>
      <c r="O8" s="19">
        <f t="shared" si="5"/>
        <v>0.22</v>
      </c>
      <c r="P8" s="19" t="s">
        <v>39</v>
      </c>
      <c r="Q8" s="19">
        <f t="shared" si="6"/>
        <v>0.56000000000000005</v>
      </c>
      <c r="R8" s="19" t="s">
        <v>47</v>
      </c>
      <c r="S8" s="19">
        <f t="shared" si="7"/>
        <v>0.22</v>
      </c>
      <c r="T8" s="20">
        <f t="shared" si="8"/>
        <v>5.5003201950000005</v>
      </c>
      <c r="U8" s="21">
        <f t="shared" si="9"/>
        <v>0.73230400000000007</v>
      </c>
      <c r="V8" s="22">
        <f t="shared" si="10"/>
        <v>4.7013916800000004</v>
      </c>
      <c r="W8" s="22">
        <f t="shared" si="11"/>
        <v>0.79892851500000017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93</v>
      </c>
      <c r="B9" s="19" t="s">
        <v>51</v>
      </c>
      <c r="C9" s="19" t="s">
        <v>94</v>
      </c>
      <c r="D9" s="19" t="s">
        <v>38</v>
      </c>
      <c r="E9" s="18">
        <f t="shared" si="0"/>
        <v>0.85</v>
      </c>
      <c r="F9" s="19" t="s">
        <v>47</v>
      </c>
      <c r="G9" s="18">
        <f t="shared" si="1"/>
        <v>0.77</v>
      </c>
      <c r="H9" s="19" t="s">
        <v>42</v>
      </c>
      <c r="I9" s="18">
        <f t="shared" si="2"/>
        <v>0.85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42</v>
      </c>
      <c r="Q9" s="19">
        <f t="shared" si="6"/>
        <v>0</v>
      </c>
      <c r="R9" s="19" t="s">
        <v>42</v>
      </c>
      <c r="S9" s="19">
        <f t="shared" si="7"/>
        <v>0</v>
      </c>
      <c r="T9" s="20">
        <f t="shared" si="8"/>
        <v>7.4822427750000005</v>
      </c>
      <c r="U9" s="21">
        <f t="shared" si="9"/>
        <v>0.56000000000000005</v>
      </c>
      <c r="V9" s="22">
        <f t="shared" si="10"/>
        <v>3.5952000000000002</v>
      </c>
      <c r="W9" s="22">
        <f t="shared" si="11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.75" customHeight="1">
      <c r="A10" s="17" t="s">
        <v>56</v>
      </c>
      <c r="B10" s="17" t="s">
        <v>57</v>
      </c>
      <c r="C10" s="28" t="s">
        <v>58</v>
      </c>
      <c r="D10" s="17" t="s">
        <v>38</v>
      </c>
      <c r="E10" s="29">
        <f t="shared" si="0"/>
        <v>0.85</v>
      </c>
      <c r="F10" s="17" t="s">
        <v>39</v>
      </c>
      <c r="G10" s="29">
        <f>IF(F10="High",0.44,IF(F10="Low",0.77,0))</f>
        <v>0.44</v>
      </c>
      <c r="H10" s="17" t="s">
        <v>42</v>
      </c>
      <c r="I10" s="29">
        <f t="shared" si="2"/>
        <v>0.85</v>
      </c>
      <c r="J10" s="17" t="s">
        <v>40</v>
      </c>
      <c r="K10" s="29">
        <f t="shared" si="3"/>
        <v>0.62</v>
      </c>
      <c r="L10" s="17" t="s">
        <v>59</v>
      </c>
      <c r="M10" s="29">
        <f t="shared" si="4"/>
        <v>6.42</v>
      </c>
      <c r="N10" s="17" t="s">
        <v>42</v>
      </c>
      <c r="O10" s="17">
        <f t="shared" si="5"/>
        <v>0</v>
      </c>
      <c r="P10" s="17" t="s">
        <v>42</v>
      </c>
      <c r="Q10" s="17">
        <f t="shared" si="6"/>
        <v>0</v>
      </c>
      <c r="R10" s="17" t="s">
        <v>39</v>
      </c>
      <c r="S10" s="17">
        <f t="shared" si="7"/>
        <v>0.56000000000000005</v>
      </c>
      <c r="T10" s="20">
        <f t="shared" si="8"/>
        <v>5.2153455600000003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1.6201455599999999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77</v>
      </c>
      <c r="B11" s="17" t="s">
        <v>63</v>
      </c>
      <c r="C11" s="28" t="s">
        <v>78</v>
      </c>
      <c r="D11" s="17" t="s">
        <v>38</v>
      </c>
      <c r="E11" s="29">
        <f t="shared" si="0"/>
        <v>0.85</v>
      </c>
      <c r="F11" s="17" t="s">
        <v>47</v>
      </c>
      <c r="G11" s="29">
        <f t="shared" ref="G11:G14" si="12">IF(F11="Low",0.77,IF(F11="High",0.44,0))</f>
        <v>0.77</v>
      </c>
      <c r="H11" s="17" t="s">
        <v>47</v>
      </c>
      <c r="I11" s="29">
        <f t="shared" si="2"/>
        <v>0.68</v>
      </c>
      <c r="J11" s="17" t="s">
        <v>40</v>
      </c>
      <c r="K11" s="29">
        <f t="shared" si="3"/>
        <v>0.62</v>
      </c>
      <c r="L11" s="17" t="s">
        <v>41</v>
      </c>
      <c r="M11" s="29">
        <f t="shared" si="4"/>
        <v>7.52</v>
      </c>
      <c r="N11" s="17" t="s">
        <v>39</v>
      </c>
      <c r="O11" s="17">
        <f t="shared" si="5"/>
        <v>0.56000000000000005</v>
      </c>
      <c r="P11" s="17" t="s">
        <v>39</v>
      </c>
      <c r="Q11" s="17">
        <f t="shared" si="6"/>
        <v>0.56000000000000005</v>
      </c>
      <c r="R11" s="17" t="s">
        <v>39</v>
      </c>
      <c r="S11" s="17">
        <f t="shared" si="7"/>
        <v>0.56000000000000005</v>
      </c>
      <c r="T11" s="20">
        <f t="shared" si="8"/>
        <v>8.9812090175880819</v>
      </c>
      <c r="U11" s="21">
        <f t="shared" si="9"/>
        <v>0.91481600000000007</v>
      </c>
      <c r="V11" s="22">
        <f t="shared" si="10"/>
        <v>6.0477304915445185</v>
      </c>
      <c r="W11" s="22">
        <f t="shared" si="11"/>
        <v>2.2682037840000002</v>
      </c>
      <c r="X11" s="29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104</v>
      </c>
      <c r="B12" s="19" t="s">
        <v>51</v>
      </c>
      <c r="C12" s="19" t="s">
        <v>105</v>
      </c>
      <c r="D12" s="19" t="s">
        <v>38</v>
      </c>
      <c r="E12" s="18">
        <f t="shared" si="0"/>
        <v>0.85</v>
      </c>
      <c r="F12" s="19" t="s">
        <v>47</v>
      </c>
      <c r="G12" s="18">
        <f t="shared" si="12"/>
        <v>0.77</v>
      </c>
      <c r="H12" s="19" t="s">
        <v>47</v>
      </c>
      <c r="I12" s="18">
        <f t="shared" si="2"/>
        <v>0.62</v>
      </c>
      <c r="J12" s="19" t="s">
        <v>42</v>
      </c>
      <c r="K12" s="18">
        <f t="shared" si="3"/>
        <v>0.85</v>
      </c>
      <c r="L12" s="19" t="s">
        <v>59</v>
      </c>
      <c r="M12" s="18">
        <f t="shared" si="4"/>
        <v>6.42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8.0123427300000003</v>
      </c>
      <c r="U12" s="21">
        <f t="shared" si="9"/>
        <v>0.80640000000000001</v>
      </c>
      <c r="V12" s="22">
        <f t="shared" si="10"/>
        <v>5.1770880000000004</v>
      </c>
      <c r="W12" s="22">
        <f t="shared" si="11"/>
        <v>2.8352547299999999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.75" customHeight="1">
      <c r="A13" s="17" t="s">
        <v>50</v>
      </c>
      <c r="B13" s="17" t="s">
        <v>44</v>
      </c>
      <c r="C13" s="28" t="s">
        <v>55</v>
      </c>
      <c r="D13" s="17" t="s">
        <v>38</v>
      </c>
      <c r="E13" s="29">
        <f t="shared" si="0"/>
        <v>0.85</v>
      </c>
      <c r="F13" s="17" t="s">
        <v>39</v>
      </c>
      <c r="G13" s="29">
        <f t="shared" si="12"/>
        <v>0.44</v>
      </c>
      <c r="H13" s="17" t="s">
        <v>47</v>
      </c>
      <c r="I13" s="29">
        <f t="shared" si="2"/>
        <v>0.68</v>
      </c>
      <c r="J13" s="17" t="s">
        <v>40</v>
      </c>
      <c r="K13" s="29">
        <f t="shared" si="3"/>
        <v>0.62</v>
      </c>
      <c r="L13" s="17" t="s">
        <v>41</v>
      </c>
      <c r="M13" s="29">
        <f t="shared" si="4"/>
        <v>7.52</v>
      </c>
      <c r="N13" s="17" t="s">
        <v>39</v>
      </c>
      <c r="O13" s="17">
        <f t="shared" si="5"/>
        <v>0.56000000000000005</v>
      </c>
      <c r="P13" s="17" t="s">
        <v>42</v>
      </c>
      <c r="Q13" s="17">
        <f t="shared" si="6"/>
        <v>0</v>
      </c>
      <c r="R13" s="17" t="s">
        <v>42</v>
      </c>
      <c r="S13" s="17">
        <f t="shared" si="7"/>
        <v>0</v>
      </c>
      <c r="T13" s="20">
        <f t="shared" si="8"/>
        <v>5.7120355715551225</v>
      </c>
      <c r="U13" s="21">
        <f t="shared" si="9"/>
        <v>0.56000000000000005</v>
      </c>
      <c r="V13" s="22">
        <f t="shared" si="10"/>
        <v>3.9928053775140029</v>
      </c>
      <c r="W13" s="22">
        <f t="shared" si="11"/>
        <v>1.2961164479999998</v>
      </c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30"/>
    </row>
    <row r="14" spans="1:34">
      <c r="A14" s="17" t="s">
        <v>68</v>
      </c>
      <c r="B14" s="19" t="s">
        <v>51</v>
      </c>
      <c r="C14" s="19" t="s">
        <v>92</v>
      </c>
      <c r="D14" s="19" t="s">
        <v>38</v>
      </c>
      <c r="E14" s="18">
        <f t="shared" si="0"/>
        <v>0.85</v>
      </c>
      <c r="F14" s="19" t="s">
        <v>39</v>
      </c>
      <c r="G14" s="18">
        <f t="shared" si="12"/>
        <v>0.44</v>
      </c>
      <c r="H14" s="19" t="s">
        <v>42</v>
      </c>
      <c r="I14" s="18">
        <f t="shared" si="2"/>
        <v>0.85</v>
      </c>
      <c r="J14" s="19" t="s">
        <v>40</v>
      </c>
      <c r="K14" s="18">
        <f t="shared" si="3"/>
        <v>0.62</v>
      </c>
      <c r="L14" s="19" t="s">
        <v>59</v>
      </c>
      <c r="M14" s="18">
        <f t="shared" si="4"/>
        <v>6.42</v>
      </c>
      <c r="N14" s="19" t="s">
        <v>47</v>
      </c>
      <c r="O14" s="19">
        <f t="shared" si="5"/>
        <v>0.22</v>
      </c>
      <c r="P14" s="19" t="s">
        <v>42</v>
      </c>
      <c r="Q14" s="19">
        <f t="shared" si="6"/>
        <v>0</v>
      </c>
      <c r="R14" s="19" t="s">
        <v>42</v>
      </c>
      <c r="S14" s="19">
        <f t="shared" si="7"/>
        <v>0</v>
      </c>
      <c r="T14" s="20">
        <f t="shared" si="8"/>
        <v>3.03254556</v>
      </c>
      <c r="U14" s="21">
        <f t="shared" si="9"/>
        <v>0.21999999999999997</v>
      </c>
      <c r="V14" s="22">
        <f t="shared" si="10"/>
        <v>1.4123999999999999</v>
      </c>
      <c r="W14" s="22">
        <f t="shared" si="11"/>
        <v>1.6201455599999999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>
        <f>SUM(T5:T14)</f>
        <v>65.731160427283612</v>
      </c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4 P5:P14 R5:R14" xr:uid="{00000000-0002-0000-0D00-000000000000}">
      <formula1>"High,Low,None"</formula1>
    </dataValidation>
    <dataValidation type="list" allowBlank="1" showErrorMessage="1" sqref="B5:B14" xr:uid="{00000000-0002-0000-0D00-000001000000}">
      <formula1>"Spoofing ,Tampering,Repudiation,Information Disclosure,Denial of Service,Elevation of Privilage"</formula1>
    </dataValidation>
    <dataValidation type="list" allowBlank="1" showErrorMessage="1" sqref="L5:L14" xr:uid="{00000000-0002-0000-0D00-000002000000}">
      <formula1>"Unchanged,Changed"</formula1>
    </dataValidation>
    <dataValidation type="list" allowBlank="1" showErrorMessage="1" sqref="F5:F14" xr:uid="{00000000-0002-0000-0D00-000003000000}">
      <formula1>"Low,High"</formula1>
    </dataValidation>
    <dataValidation type="list" allowBlank="1" showErrorMessage="1" sqref="D5:D14" xr:uid="{00000000-0002-0000-0D00-000004000000}">
      <formula1>"Network,Adjacent Network,Local,Physical"</formula1>
    </dataValidation>
    <dataValidation type="list" allowBlank="1" showErrorMessage="1" sqref="A7:A9 A12 A14" xr:uid="{00000000-0002-0000-0D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4" xr:uid="{00000000-0002-0000-0D00-000006000000}">
      <formula1>"None,Required"</formula1>
    </dataValidation>
    <dataValidation type="list" allowBlank="1" showErrorMessage="1" sqref="A5:A6 A10:A11 A13" xr:uid="{00000000-0002-0000-0D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4" xr:uid="{00000000-0002-0000-0D00-000008000000}">
      <formula1>"None,Low,High"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 ht="15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 ht="15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 ht="15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45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10" si="0">IF(D5="Network",0.85,IF(D5="Adjacent Network",0.62,IF(D5="Local",0.55,IF(D5="Physical",0.2,0))))</f>
        <v>0.85</v>
      </c>
      <c r="F5" s="17" t="s">
        <v>39</v>
      </c>
      <c r="G5" s="29">
        <f t="shared" ref="G5:G6" si="1">IF(F5="High",0.44,IF(F5="Low",0.77,0))</f>
        <v>0.44</v>
      </c>
      <c r="H5" s="17" t="s">
        <v>42</v>
      </c>
      <c r="I5" s="29">
        <f t="shared" ref="I5:I10" si="2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10" si="3">IF(J5="Required",0.62,IF(J5="None",0.85,0))</f>
        <v>0.62</v>
      </c>
      <c r="L5" s="17" t="s">
        <v>59</v>
      </c>
      <c r="M5" s="29">
        <f t="shared" ref="M5:M10" si="4">IF(L5="Changed",7.52,IF(L5="Unchanged",6.42,0))</f>
        <v>6.42</v>
      </c>
      <c r="N5" s="17" t="s">
        <v>42</v>
      </c>
      <c r="O5" s="17">
        <f t="shared" ref="O5:O10" si="5">IF(N5="High",0.56,IF(N5="Low",0.22,IF(N5="None",0,0)))</f>
        <v>0</v>
      </c>
      <c r="P5" s="17" t="s">
        <v>42</v>
      </c>
      <c r="Q5" s="17">
        <f t="shared" ref="Q5:Q10" si="6">IF(P5="High",0.56,IF(P5="Low",0.22,IF(P5="None",0,0)))</f>
        <v>0</v>
      </c>
      <c r="R5" s="17" t="s">
        <v>39</v>
      </c>
      <c r="S5" s="17">
        <f t="shared" ref="S5:S10" si="7">IF(R5="High",0.56,IF(R5="Low",0.22,IF(R5="None",0,0)))</f>
        <v>0.56000000000000005</v>
      </c>
      <c r="T5" s="20">
        <f t="shared" ref="T5:T10" si="8">IF(V5&lt;=0,0,IF(L5="Unchanged",MIN(W5+V5,10),MIN((W5+V5)*1.08,10)))</f>
        <v>5.2153455600000003</v>
      </c>
      <c r="U5" s="21">
        <f t="shared" ref="U5:U10" si="9">(1-((1-O5)*(1-Q5)*(1-S5)))</f>
        <v>0.56000000000000005</v>
      </c>
      <c r="V5" s="22">
        <f t="shared" ref="V5:V10" si="10">IF(L5="Unchanged",M5*U5,M5*(U5-0.029)-3.25*POWER(U5-0.02,15))</f>
        <v>3.5952000000000002</v>
      </c>
      <c r="W5" s="22">
        <f t="shared" ref="W5:W10" si="11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8" customHeight="1">
      <c r="A6" s="17" t="s">
        <v>35</v>
      </c>
      <c r="B6" s="19" t="s">
        <v>36</v>
      </c>
      <c r="C6" s="19" t="s">
        <v>37</v>
      </c>
      <c r="D6" s="19" t="s">
        <v>38</v>
      </c>
      <c r="E6" s="18">
        <f t="shared" si="0"/>
        <v>0.85</v>
      </c>
      <c r="F6" s="19" t="s">
        <v>39</v>
      </c>
      <c r="G6" s="18">
        <f t="shared" si="1"/>
        <v>0.44</v>
      </c>
      <c r="H6" s="19" t="s">
        <v>39</v>
      </c>
      <c r="I6" s="18">
        <f t="shared" si="2"/>
        <v>0.5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7.2475103892186867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0.95302679999999995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">
      <c r="A7" s="17" t="s">
        <v>43</v>
      </c>
      <c r="B7" s="19" t="s">
        <v>44</v>
      </c>
      <c r="C7" s="19" t="s">
        <v>95</v>
      </c>
      <c r="D7" s="19" t="s">
        <v>46</v>
      </c>
      <c r="E7" s="18">
        <f t="shared" si="0"/>
        <v>0.62</v>
      </c>
      <c r="F7" s="19" t="s">
        <v>47</v>
      </c>
      <c r="G7" s="18">
        <f t="shared" ref="G7:G10" si="12">IF(F7="Low",0.77,IF(F7="High",0.44,0))</f>
        <v>0.77</v>
      </c>
      <c r="H7" s="19" t="s">
        <v>42</v>
      </c>
      <c r="I7" s="18">
        <f t="shared" si="2"/>
        <v>0.85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47</v>
      </c>
      <c r="O7" s="19">
        <f t="shared" si="5"/>
        <v>0.22</v>
      </c>
      <c r="P7" s="19" t="s">
        <v>47</v>
      </c>
      <c r="Q7" s="19">
        <f t="shared" si="6"/>
        <v>0.22</v>
      </c>
      <c r="R7" s="19" t="s">
        <v>42</v>
      </c>
      <c r="S7" s="19">
        <f t="shared" si="7"/>
        <v>0</v>
      </c>
      <c r="T7" s="20">
        <f t="shared" si="8"/>
        <v>5.1784045198243218</v>
      </c>
      <c r="U7" s="21">
        <f t="shared" si="9"/>
        <v>0.39159999999999995</v>
      </c>
      <c r="V7" s="22">
        <f t="shared" si="10"/>
        <v>2.7267508438373347</v>
      </c>
      <c r="W7" s="22">
        <f t="shared" si="11"/>
        <v>2.0680681560000003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">
      <c r="A8" s="17" t="s">
        <v>97</v>
      </c>
      <c r="B8" s="19" t="s">
        <v>73</v>
      </c>
      <c r="C8" s="19" t="s">
        <v>98</v>
      </c>
      <c r="D8" s="19" t="s">
        <v>66</v>
      </c>
      <c r="E8" s="18">
        <f t="shared" si="0"/>
        <v>0.55000000000000004</v>
      </c>
      <c r="F8" s="19" t="s">
        <v>47</v>
      </c>
      <c r="G8" s="18">
        <f t="shared" si="12"/>
        <v>0.77</v>
      </c>
      <c r="H8" s="19" t="s">
        <v>39</v>
      </c>
      <c r="I8" s="18">
        <f t="shared" si="2"/>
        <v>0.27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47</v>
      </c>
      <c r="O8" s="19">
        <f t="shared" si="5"/>
        <v>0.22</v>
      </c>
      <c r="P8" s="19" t="s">
        <v>39</v>
      </c>
      <c r="Q8" s="19">
        <f t="shared" si="6"/>
        <v>0.56000000000000005</v>
      </c>
      <c r="R8" s="19" t="s">
        <v>47</v>
      </c>
      <c r="S8" s="19">
        <f t="shared" si="7"/>
        <v>0.22</v>
      </c>
      <c r="T8" s="20">
        <f t="shared" si="8"/>
        <v>5.5003201950000005</v>
      </c>
      <c r="U8" s="21">
        <f t="shared" si="9"/>
        <v>0.73230400000000007</v>
      </c>
      <c r="V8" s="22">
        <f t="shared" si="10"/>
        <v>4.7013916800000004</v>
      </c>
      <c r="W8" s="22">
        <f t="shared" si="11"/>
        <v>0.79892851500000017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">
      <c r="A9" s="17" t="s">
        <v>50</v>
      </c>
      <c r="B9" s="19" t="s">
        <v>36</v>
      </c>
      <c r="C9" s="19" t="s">
        <v>96</v>
      </c>
      <c r="D9" s="19" t="s">
        <v>38</v>
      </c>
      <c r="E9" s="18">
        <f t="shared" si="0"/>
        <v>0.85</v>
      </c>
      <c r="F9" s="19" t="s">
        <v>47</v>
      </c>
      <c r="G9" s="18">
        <f t="shared" si="12"/>
        <v>0.77</v>
      </c>
      <c r="H9" s="19" t="s">
        <v>42</v>
      </c>
      <c r="I9" s="18">
        <f t="shared" si="2"/>
        <v>0.85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42</v>
      </c>
      <c r="S9" s="19">
        <f t="shared" si="7"/>
        <v>0</v>
      </c>
      <c r="T9" s="20">
        <f t="shared" si="8"/>
        <v>9.0641307750000006</v>
      </c>
      <c r="U9" s="21">
        <f t="shared" si="9"/>
        <v>0.80640000000000001</v>
      </c>
      <c r="V9" s="22">
        <f t="shared" si="10"/>
        <v>5.1770880000000004</v>
      </c>
      <c r="W9" s="22">
        <f t="shared" si="11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">
      <c r="A10" s="17" t="s">
        <v>48</v>
      </c>
      <c r="B10" s="19" t="s">
        <v>63</v>
      </c>
      <c r="C10" s="19" t="s">
        <v>126</v>
      </c>
      <c r="D10" s="19" t="s">
        <v>38</v>
      </c>
      <c r="E10" s="18">
        <f t="shared" si="0"/>
        <v>0.85</v>
      </c>
      <c r="F10" s="19" t="s">
        <v>39</v>
      </c>
      <c r="G10" s="18">
        <f t="shared" si="12"/>
        <v>0.44</v>
      </c>
      <c r="H10" s="19" t="s">
        <v>39</v>
      </c>
      <c r="I10" s="18">
        <f t="shared" si="2"/>
        <v>0.5</v>
      </c>
      <c r="J10" s="19" t="s">
        <v>40</v>
      </c>
      <c r="K10" s="18">
        <f t="shared" si="3"/>
        <v>0.62</v>
      </c>
      <c r="L10" s="19" t="s">
        <v>41</v>
      </c>
      <c r="M10" s="18">
        <f t="shared" si="4"/>
        <v>7.52</v>
      </c>
      <c r="N10" s="19" t="s">
        <v>39</v>
      </c>
      <c r="O10" s="19">
        <f t="shared" si="5"/>
        <v>0.56000000000000005</v>
      </c>
      <c r="P10" s="19" t="s">
        <v>42</v>
      </c>
      <c r="Q10" s="19">
        <f t="shared" si="6"/>
        <v>0</v>
      </c>
      <c r="R10" s="19" t="s">
        <v>47</v>
      </c>
      <c r="S10" s="19">
        <f t="shared" si="7"/>
        <v>0.22</v>
      </c>
      <c r="T10" s="20">
        <f t="shared" si="8"/>
        <v>6.1239789795723967</v>
      </c>
      <c r="U10" s="21">
        <f t="shared" si="9"/>
        <v>0.65680000000000005</v>
      </c>
      <c r="V10" s="22">
        <f t="shared" si="10"/>
        <v>4.7173241070114784</v>
      </c>
      <c r="W10" s="22">
        <f t="shared" si="11"/>
        <v>0.95302679999999995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</row>
    <row r="11" spans="1:34" ht="1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>
        <v>38.299999999999997</v>
      </c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 ht="1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 ht="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 ht="1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 ht="1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 ht="1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 ht="1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 ht="1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 ht="1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 ht="1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 ht="1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 ht="15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 ht="15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15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15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15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 ht="15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 ht="15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 ht="15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 ht="15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 ht="15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 ht="15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">
      <c r="T42" s="20"/>
      <c r="U42" s="21"/>
      <c r="V42" s="22"/>
      <c r="W42" s="22"/>
    </row>
    <row r="43" spans="1:34" ht="15">
      <c r="T43" s="20"/>
      <c r="U43" s="21"/>
      <c r="V43" s="22"/>
      <c r="W43" s="22"/>
    </row>
    <row r="44" spans="1:34" ht="15">
      <c r="T44" s="20"/>
      <c r="U44" s="21"/>
      <c r="V44" s="22"/>
      <c r="W44" s="22"/>
    </row>
    <row r="45" spans="1:34" ht="15">
      <c r="T45" s="20"/>
      <c r="U45" s="21"/>
      <c r="V45" s="22"/>
      <c r="W45" s="22"/>
    </row>
    <row r="46" spans="1:34" ht="15">
      <c r="T46" s="20"/>
      <c r="U46" s="21"/>
      <c r="V46" s="22"/>
      <c r="W46" s="22"/>
    </row>
    <row r="47" spans="1:34" ht="15">
      <c r="T47" s="20"/>
      <c r="U47" s="21"/>
      <c r="V47" s="22"/>
      <c r="W47" s="22"/>
    </row>
    <row r="48" spans="1:34" ht="15">
      <c r="T48" s="20"/>
      <c r="U48" s="21"/>
      <c r="V48" s="22"/>
      <c r="W48" s="22"/>
    </row>
    <row r="49" spans="20:23" ht="15">
      <c r="T49" s="20"/>
      <c r="U49" s="21"/>
      <c r="V49" s="22"/>
      <c r="W49" s="22"/>
    </row>
    <row r="50" spans="20:23" ht="15">
      <c r="T50" s="20"/>
      <c r="U50" s="21"/>
      <c r="V50" s="22"/>
      <c r="W50" s="22"/>
    </row>
    <row r="51" spans="20:23" ht="15">
      <c r="T51" s="20"/>
      <c r="U51" s="21"/>
      <c r="V51" s="22"/>
      <c r="W51" s="22"/>
    </row>
    <row r="52" spans="20:23" ht="15">
      <c r="T52" s="20"/>
      <c r="U52" s="21"/>
      <c r="V52" s="22"/>
      <c r="W52" s="22"/>
    </row>
    <row r="53" spans="20:23" ht="15">
      <c r="T53" s="20"/>
      <c r="U53" s="21"/>
      <c r="V53" s="22"/>
      <c r="W53" s="22"/>
    </row>
    <row r="54" spans="20:23" ht="15">
      <c r="T54" s="20"/>
      <c r="U54" s="21"/>
      <c r="V54" s="22"/>
      <c r="W54" s="22"/>
    </row>
    <row r="55" spans="20:23" ht="15">
      <c r="T55" s="20"/>
      <c r="U55" s="21"/>
      <c r="V55" s="22"/>
      <c r="W55" s="22"/>
    </row>
    <row r="56" spans="20:23" ht="15">
      <c r="T56" s="20"/>
      <c r="U56" s="21"/>
      <c r="V56" s="22"/>
      <c r="W56" s="22"/>
    </row>
    <row r="57" spans="20:23" ht="15">
      <c r="T57" s="20"/>
      <c r="U57" s="21"/>
      <c r="V57" s="22"/>
      <c r="W57" s="22"/>
    </row>
    <row r="58" spans="20:23" ht="15">
      <c r="T58" s="20"/>
      <c r="U58" s="21"/>
      <c r="V58" s="22"/>
      <c r="W58" s="22"/>
    </row>
    <row r="59" spans="20:23" ht="15">
      <c r="T59" s="20"/>
      <c r="U59" s="21"/>
      <c r="V59" s="22"/>
      <c r="W59" s="22"/>
    </row>
    <row r="60" spans="20:23" ht="15">
      <c r="T60" s="20"/>
      <c r="U60" s="21"/>
      <c r="V60" s="22"/>
      <c r="W60" s="22"/>
    </row>
    <row r="61" spans="20:23" ht="15">
      <c r="T61" s="20"/>
      <c r="U61" s="21"/>
      <c r="V61" s="22"/>
      <c r="W61" s="22"/>
    </row>
    <row r="62" spans="20:23" ht="15">
      <c r="T62" s="20"/>
      <c r="U62" s="21"/>
      <c r="V62" s="22"/>
      <c r="W62" s="22"/>
    </row>
    <row r="63" spans="20:23" ht="15">
      <c r="T63" s="20"/>
      <c r="U63" s="21"/>
      <c r="V63" s="22"/>
      <c r="W63" s="22"/>
    </row>
    <row r="64" spans="20:23" ht="15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0 P5:P10 R5:R10" xr:uid="{00000000-0002-0000-0E00-000000000000}">
      <formula1>"High,Low,None"</formula1>
    </dataValidation>
    <dataValidation type="list" allowBlank="1" showErrorMessage="1" sqref="B5:B10" xr:uid="{00000000-0002-0000-0E00-000001000000}">
      <formula1>"Spoofing ,Tampering,Repudiation,Information Disclosure,Denial of Service,Elevation of Privilage"</formula1>
    </dataValidation>
    <dataValidation type="list" allowBlank="1" showErrorMessage="1" sqref="L5:L10" xr:uid="{00000000-0002-0000-0E00-000002000000}">
      <formula1>"Unchanged,Changed"</formula1>
    </dataValidation>
    <dataValidation type="list" allowBlank="1" showErrorMessage="1" sqref="F5:F10" xr:uid="{00000000-0002-0000-0E00-000003000000}">
      <formula1>"Low,High"</formula1>
    </dataValidation>
    <dataValidation type="list" allowBlank="1" showErrorMessage="1" sqref="D5:D10" xr:uid="{00000000-0002-0000-0E00-000004000000}">
      <formula1>"Network,Adjacent Network,Local,Physical"</formula1>
    </dataValidation>
    <dataValidation type="list" allowBlank="1" showErrorMessage="1" sqref="A8:A10" xr:uid="{00000000-0002-0000-0E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0" xr:uid="{00000000-0002-0000-0E00-000006000000}">
      <formula1>"None,Required"</formula1>
    </dataValidation>
    <dataValidation type="list" allowBlank="1" showErrorMessage="1" sqref="A5:A7" xr:uid="{00000000-0002-0000-0E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0" xr:uid="{00000000-0002-0000-0E00-000008000000}">
      <formula1>"None,Low,High"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0.3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90</v>
      </c>
      <c r="B5" s="19" t="s">
        <v>44</v>
      </c>
      <c r="C5" s="27" t="s">
        <v>91</v>
      </c>
      <c r="D5" s="19" t="s">
        <v>38</v>
      </c>
      <c r="E5" s="18">
        <f t="shared" ref="E5:E18" si="0">IF(D5="Network",0.85,IF(D5="Adjacent Network",0.62,IF(D5="Local",0.55,IF(D5="Physical",0.2,0))))</f>
        <v>0.85</v>
      </c>
      <c r="F5" s="19" t="s">
        <v>47</v>
      </c>
      <c r="G5" s="18">
        <f t="shared" ref="G5:G13" si="1">IF(F5="Low",0.77,IF(F5="High",0.44,0))</f>
        <v>0.77</v>
      </c>
      <c r="H5" s="19" t="s">
        <v>42</v>
      </c>
      <c r="I5" s="18">
        <f t="shared" ref="I5:I18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8" si="3">IF(J5="Required",0.62,IF(J5="None",0.85,0))</f>
        <v>0.85</v>
      </c>
      <c r="L5" s="19" t="s">
        <v>59</v>
      </c>
      <c r="M5" s="18">
        <f t="shared" ref="M5:M18" si="4">IF(L5="Changed",7.52,IF(L5="Unchanged",6.42,0))</f>
        <v>6.42</v>
      </c>
      <c r="N5" s="19" t="s">
        <v>47</v>
      </c>
      <c r="O5" s="19">
        <f t="shared" ref="O5:O18" si="5">IF(N5="High",0.56,IF(N5="Low",0.22,IF(N5="None",0,0)))</f>
        <v>0.22</v>
      </c>
      <c r="P5" s="19" t="s">
        <v>39</v>
      </c>
      <c r="Q5" s="19">
        <f t="shared" ref="Q5:Q18" si="6">IF(P5="High",0.56,IF(P5="Low",0.22,IF(P5="None",0,0)))</f>
        <v>0.56000000000000005</v>
      </c>
      <c r="R5" s="19" t="s">
        <v>39</v>
      </c>
      <c r="S5" s="19">
        <f t="shared" ref="S5:S18" si="7">IF(R5="High",0.56,IF(R5="Low",0.22,IF(R5="None",0,0)))</f>
        <v>0.56000000000000005</v>
      </c>
      <c r="T5" s="20">
        <f t="shared" ref="T5:T18" si="8">IF(V5&lt;=0,0,IF(L5="Unchanged",MIN(W5+V5,10),MIN((W5+V5)*1.08,10)))</f>
        <v>9.3375714150000011</v>
      </c>
      <c r="U5" s="21">
        <f t="shared" ref="U5:U18" si="9">(1-((1-O5)*(1-Q5)*(1-S5)))</f>
        <v>0.84899200000000008</v>
      </c>
      <c r="V5" s="22">
        <f t="shared" ref="V5:V18" si="10">IF(L5="Unchanged",M5*U5,M5*(U5-0.029)-3.25*POWER(U5-0.02,15))</f>
        <v>5.4505286400000008</v>
      </c>
      <c r="W5" s="22">
        <f t="shared" ref="W5:W18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85</v>
      </c>
      <c r="B6" s="19" t="s">
        <v>44</v>
      </c>
      <c r="C6" s="27" t="s">
        <v>88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39</v>
      </c>
      <c r="S6" s="19">
        <f t="shared" si="7"/>
        <v>0.56000000000000005</v>
      </c>
      <c r="T6" s="20">
        <f t="shared" si="8"/>
        <v>9.760161495000002</v>
      </c>
      <c r="U6" s="21">
        <f t="shared" si="9"/>
        <v>0.91481600000000007</v>
      </c>
      <c r="V6" s="22">
        <f t="shared" si="10"/>
        <v>5.8731187200000008</v>
      </c>
      <c r="W6" s="22">
        <f t="shared" si="11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48</v>
      </c>
      <c r="B7" s="19" t="s">
        <v>51</v>
      </c>
      <c r="C7" s="27" t="s">
        <v>79</v>
      </c>
      <c r="D7" s="19" t="s">
        <v>38</v>
      </c>
      <c r="E7" s="18">
        <f t="shared" si="0"/>
        <v>0.85</v>
      </c>
      <c r="F7" s="19" t="s">
        <v>47</v>
      </c>
      <c r="G7" s="18">
        <f t="shared" si="1"/>
        <v>0.77</v>
      </c>
      <c r="H7" s="19" t="s">
        <v>42</v>
      </c>
      <c r="I7" s="18">
        <f t="shared" si="2"/>
        <v>0.85</v>
      </c>
      <c r="J7" s="19" t="s">
        <v>42</v>
      </c>
      <c r="K7" s="18">
        <f t="shared" si="3"/>
        <v>0.85</v>
      </c>
      <c r="L7" s="19" t="s">
        <v>59</v>
      </c>
      <c r="M7" s="18">
        <f t="shared" si="4"/>
        <v>6.42</v>
      </c>
      <c r="N7" s="19" t="s">
        <v>39</v>
      </c>
      <c r="O7" s="19">
        <f t="shared" si="5"/>
        <v>0.56000000000000005</v>
      </c>
      <c r="P7" s="19" t="s">
        <v>42</v>
      </c>
      <c r="Q7" s="19">
        <f t="shared" si="6"/>
        <v>0</v>
      </c>
      <c r="R7" s="19" t="s">
        <v>42</v>
      </c>
      <c r="S7" s="19">
        <f t="shared" si="7"/>
        <v>0</v>
      </c>
      <c r="T7" s="20">
        <f t="shared" si="8"/>
        <v>7.4822427750000005</v>
      </c>
      <c r="U7" s="21">
        <f t="shared" si="9"/>
        <v>0.56000000000000005</v>
      </c>
      <c r="V7" s="22">
        <f t="shared" si="10"/>
        <v>3.5952000000000002</v>
      </c>
      <c r="W7" s="22">
        <f t="shared" si="11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43</v>
      </c>
      <c r="B8" s="19" t="s">
        <v>44</v>
      </c>
      <c r="C8" s="27" t="s">
        <v>95</v>
      </c>
      <c r="D8" s="19" t="s">
        <v>46</v>
      </c>
      <c r="E8" s="18">
        <f t="shared" si="0"/>
        <v>0.62</v>
      </c>
      <c r="F8" s="19" t="s">
        <v>47</v>
      </c>
      <c r="G8" s="18">
        <f t="shared" si="1"/>
        <v>0.77</v>
      </c>
      <c r="H8" s="19" t="s">
        <v>42</v>
      </c>
      <c r="I8" s="18">
        <f t="shared" si="2"/>
        <v>0.85</v>
      </c>
      <c r="J8" s="19" t="s">
        <v>40</v>
      </c>
      <c r="K8" s="18">
        <f t="shared" si="3"/>
        <v>0.62</v>
      </c>
      <c r="L8" s="19" t="s">
        <v>41</v>
      </c>
      <c r="M8" s="18">
        <f t="shared" si="4"/>
        <v>7.52</v>
      </c>
      <c r="N8" s="19" t="s">
        <v>47</v>
      </c>
      <c r="O8" s="19">
        <f t="shared" si="5"/>
        <v>0.22</v>
      </c>
      <c r="P8" s="19" t="s">
        <v>47</v>
      </c>
      <c r="Q8" s="19">
        <f t="shared" si="6"/>
        <v>0.22</v>
      </c>
      <c r="R8" s="19" t="s">
        <v>42</v>
      </c>
      <c r="S8" s="19">
        <f t="shared" si="7"/>
        <v>0</v>
      </c>
      <c r="T8" s="20">
        <f t="shared" si="8"/>
        <v>5.1784045198243218</v>
      </c>
      <c r="U8" s="21">
        <f t="shared" si="9"/>
        <v>0.39159999999999995</v>
      </c>
      <c r="V8" s="22">
        <f t="shared" si="10"/>
        <v>2.7267508438373347</v>
      </c>
      <c r="W8" s="22">
        <f t="shared" si="11"/>
        <v>2.0680681560000003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97</v>
      </c>
      <c r="B9" s="19" t="s">
        <v>73</v>
      </c>
      <c r="C9" s="27" t="s">
        <v>98</v>
      </c>
      <c r="D9" s="19" t="s">
        <v>66</v>
      </c>
      <c r="E9" s="18">
        <f t="shared" si="0"/>
        <v>0.55000000000000004</v>
      </c>
      <c r="F9" s="19" t="s">
        <v>47</v>
      </c>
      <c r="G9" s="18">
        <f t="shared" si="1"/>
        <v>0.77</v>
      </c>
      <c r="H9" s="19" t="s">
        <v>39</v>
      </c>
      <c r="I9" s="18">
        <f t="shared" si="2"/>
        <v>0.27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47</v>
      </c>
      <c r="O9" s="19">
        <f t="shared" si="5"/>
        <v>0.22</v>
      </c>
      <c r="P9" s="19" t="s">
        <v>39</v>
      </c>
      <c r="Q9" s="19">
        <f t="shared" si="6"/>
        <v>0.56000000000000005</v>
      </c>
      <c r="R9" s="19" t="s">
        <v>47</v>
      </c>
      <c r="S9" s="19">
        <f t="shared" si="7"/>
        <v>0.22</v>
      </c>
      <c r="T9" s="20">
        <f t="shared" si="8"/>
        <v>5.5003201950000005</v>
      </c>
      <c r="U9" s="21">
        <f t="shared" si="9"/>
        <v>0.73230400000000007</v>
      </c>
      <c r="V9" s="22">
        <f t="shared" si="10"/>
        <v>4.7013916800000004</v>
      </c>
      <c r="W9" s="22">
        <f t="shared" si="11"/>
        <v>0.79892851500000017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85</v>
      </c>
      <c r="B10" s="19" t="s">
        <v>36</v>
      </c>
      <c r="C10" s="19" t="s">
        <v>102</v>
      </c>
      <c r="D10" s="19" t="s">
        <v>38</v>
      </c>
      <c r="E10" s="18">
        <f t="shared" si="0"/>
        <v>0.85</v>
      </c>
      <c r="F10" s="19" t="s">
        <v>47</v>
      </c>
      <c r="G10" s="18">
        <f t="shared" si="1"/>
        <v>0.77</v>
      </c>
      <c r="H10" s="19" t="s">
        <v>42</v>
      </c>
      <c r="I10" s="18">
        <f t="shared" si="2"/>
        <v>0.85</v>
      </c>
      <c r="J10" s="19" t="s">
        <v>42</v>
      </c>
      <c r="K10" s="18">
        <f t="shared" si="3"/>
        <v>0.85</v>
      </c>
      <c r="L10" s="19" t="s">
        <v>41</v>
      </c>
      <c r="M10" s="18">
        <f t="shared" si="4"/>
        <v>7.52</v>
      </c>
      <c r="N10" s="19" t="s">
        <v>39</v>
      </c>
      <c r="O10" s="19">
        <f t="shared" si="5"/>
        <v>0.56000000000000005</v>
      </c>
      <c r="P10" s="19" t="s">
        <v>39</v>
      </c>
      <c r="Q10" s="19">
        <f t="shared" si="6"/>
        <v>0.56000000000000005</v>
      </c>
      <c r="R10" s="19" t="s">
        <v>39</v>
      </c>
      <c r="S10" s="19">
        <f t="shared" si="7"/>
        <v>0.56000000000000005</v>
      </c>
      <c r="T10" s="20">
        <f t="shared" si="8"/>
        <v>10</v>
      </c>
      <c r="U10" s="21">
        <f t="shared" si="9"/>
        <v>0.91481600000000007</v>
      </c>
      <c r="V10" s="22">
        <f t="shared" si="10"/>
        <v>6.0477304915445185</v>
      </c>
      <c r="W10" s="22">
        <f t="shared" si="11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83</v>
      </c>
      <c r="B11" s="19" t="s">
        <v>36</v>
      </c>
      <c r="C11" s="27" t="s">
        <v>103</v>
      </c>
      <c r="D11" s="19" t="s">
        <v>66</v>
      </c>
      <c r="E11" s="18">
        <f t="shared" si="0"/>
        <v>0.55000000000000004</v>
      </c>
      <c r="F11" s="19" t="s">
        <v>47</v>
      </c>
      <c r="G11" s="18">
        <f t="shared" si="1"/>
        <v>0.77</v>
      </c>
      <c r="H11" s="19" t="s">
        <v>39</v>
      </c>
      <c r="I11" s="18">
        <f t="shared" si="2"/>
        <v>0.5</v>
      </c>
      <c r="J11" s="19" t="s">
        <v>42</v>
      </c>
      <c r="K11" s="18">
        <f t="shared" si="3"/>
        <v>0.85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39</v>
      </c>
      <c r="S11" s="19">
        <f t="shared" si="7"/>
        <v>0.56000000000000005</v>
      </c>
      <c r="T11" s="20">
        <f t="shared" si="8"/>
        <v>8.1294059608680804</v>
      </c>
      <c r="U11" s="21">
        <f t="shared" si="9"/>
        <v>0.91481600000000007</v>
      </c>
      <c r="V11" s="22">
        <f t="shared" si="10"/>
        <v>6.0477304915445185</v>
      </c>
      <c r="W11" s="22">
        <f t="shared" si="11"/>
        <v>1.4794972500000001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.75" customHeight="1">
      <c r="A12" s="17" t="s">
        <v>43</v>
      </c>
      <c r="B12" s="17" t="s">
        <v>63</v>
      </c>
      <c r="C12" s="28" t="s">
        <v>64</v>
      </c>
      <c r="D12" s="17" t="s">
        <v>38</v>
      </c>
      <c r="E12" s="29">
        <f t="shared" si="0"/>
        <v>0.85</v>
      </c>
      <c r="F12" s="17" t="s">
        <v>39</v>
      </c>
      <c r="G12" s="29">
        <f t="shared" si="1"/>
        <v>0.44</v>
      </c>
      <c r="H12" s="17" t="s">
        <v>47</v>
      </c>
      <c r="I12" s="29">
        <f t="shared" si="2"/>
        <v>0.68</v>
      </c>
      <c r="J12" s="17" t="s">
        <v>40</v>
      </c>
      <c r="K12" s="29">
        <f t="shared" si="3"/>
        <v>0.62</v>
      </c>
      <c r="L12" s="17" t="s">
        <v>41</v>
      </c>
      <c r="M12" s="29">
        <f t="shared" si="4"/>
        <v>7.52</v>
      </c>
      <c r="N12" s="17" t="s">
        <v>39</v>
      </c>
      <c r="O12" s="17">
        <f t="shared" si="5"/>
        <v>0.56000000000000005</v>
      </c>
      <c r="P12" s="17" t="s">
        <v>42</v>
      </c>
      <c r="Q12" s="17">
        <f t="shared" si="6"/>
        <v>0</v>
      </c>
      <c r="R12" s="17" t="s">
        <v>42</v>
      </c>
      <c r="S12" s="17">
        <f t="shared" si="7"/>
        <v>0</v>
      </c>
      <c r="T12" s="20">
        <f t="shared" si="8"/>
        <v>5.7120355715551225</v>
      </c>
      <c r="U12" s="21">
        <f t="shared" si="9"/>
        <v>0.56000000000000005</v>
      </c>
      <c r="V12" s="22">
        <f t="shared" si="10"/>
        <v>3.9928053775140029</v>
      </c>
      <c r="W12" s="22">
        <f t="shared" si="11"/>
        <v>1.2961164479999998</v>
      </c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30"/>
    </row>
    <row r="13" spans="1:34">
      <c r="A13" s="17" t="s">
        <v>85</v>
      </c>
      <c r="B13" s="19" t="s">
        <v>51</v>
      </c>
      <c r="C13" s="45" t="s">
        <v>127</v>
      </c>
      <c r="D13" s="19" t="s">
        <v>38</v>
      </c>
      <c r="E13" s="18">
        <f t="shared" si="0"/>
        <v>0.85</v>
      </c>
      <c r="F13" s="19" t="s">
        <v>47</v>
      </c>
      <c r="G13" s="18">
        <f t="shared" si="1"/>
        <v>0.77</v>
      </c>
      <c r="H13" s="19" t="s">
        <v>39</v>
      </c>
      <c r="I13" s="18">
        <f t="shared" si="2"/>
        <v>0.27</v>
      </c>
      <c r="J13" s="19" t="s">
        <v>42</v>
      </c>
      <c r="K13" s="18">
        <f t="shared" si="3"/>
        <v>0.85</v>
      </c>
      <c r="L13" s="19" t="s">
        <v>59</v>
      </c>
      <c r="M13" s="18">
        <f t="shared" si="4"/>
        <v>6.42</v>
      </c>
      <c r="N13" s="19" t="s">
        <v>39</v>
      </c>
      <c r="O13" s="19">
        <f t="shared" si="5"/>
        <v>0.56000000000000005</v>
      </c>
      <c r="P13" s="19" t="s">
        <v>42</v>
      </c>
      <c r="Q13" s="19">
        <f t="shared" si="6"/>
        <v>0</v>
      </c>
      <c r="R13" s="19" t="s">
        <v>42</v>
      </c>
      <c r="S13" s="19">
        <f t="shared" si="7"/>
        <v>0</v>
      </c>
      <c r="T13" s="20">
        <f t="shared" si="8"/>
        <v>4.8299077050000001</v>
      </c>
      <c r="U13" s="21">
        <f t="shared" si="9"/>
        <v>0.56000000000000005</v>
      </c>
      <c r="V13" s="22">
        <f t="shared" si="10"/>
        <v>3.5952000000000002</v>
      </c>
      <c r="W13" s="22">
        <f t="shared" si="11"/>
        <v>1.2347077050000002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.75" customHeight="1">
      <c r="A14" s="17" t="s">
        <v>56</v>
      </c>
      <c r="B14" s="17" t="s">
        <v>57</v>
      </c>
      <c r="C14" s="28" t="s">
        <v>58</v>
      </c>
      <c r="D14" s="17" t="s">
        <v>38</v>
      </c>
      <c r="E14" s="29">
        <f t="shared" si="0"/>
        <v>0.85</v>
      </c>
      <c r="F14" s="17" t="s">
        <v>39</v>
      </c>
      <c r="G14" s="29">
        <f>IF(F14="High",0.44,IF(F14="Low",0.77,0))</f>
        <v>0.44</v>
      </c>
      <c r="H14" s="17" t="s">
        <v>42</v>
      </c>
      <c r="I14" s="29">
        <f t="shared" si="2"/>
        <v>0.85</v>
      </c>
      <c r="J14" s="17" t="s">
        <v>40</v>
      </c>
      <c r="K14" s="29">
        <f t="shared" si="3"/>
        <v>0.62</v>
      </c>
      <c r="L14" s="17" t="s">
        <v>59</v>
      </c>
      <c r="M14" s="29">
        <f t="shared" si="4"/>
        <v>6.42</v>
      </c>
      <c r="N14" s="17" t="s">
        <v>42</v>
      </c>
      <c r="O14" s="17">
        <f t="shared" si="5"/>
        <v>0</v>
      </c>
      <c r="P14" s="17" t="s">
        <v>42</v>
      </c>
      <c r="Q14" s="17">
        <f t="shared" si="6"/>
        <v>0</v>
      </c>
      <c r="R14" s="17" t="s">
        <v>39</v>
      </c>
      <c r="S14" s="17">
        <f t="shared" si="7"/>
        <v>0.56000000000000005</v>
      </c>
      <c r="T14" s="20">
        <f t="shared" si="8"/>
        <v>5.2153455600000003</v>
      </c>
      <c r="U14" s="21">
        <f t="shared" si="9"/>
        <v>0.56000000000000005</v>
      </c>
      <c r="V14" s="22">
        <f t="shared" si="10"/>
        <v>3.5952000000000002</v>
      </c>
      <c r="W14" s="22">
        <f t="shared" si="11"/>
        <v>1.6201455599999999</v>
      </c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30"/>
    </row>
    <row r="15" spans="1:34">
      <c r="A15" s="17" t="s">
        <v>50</v>
      </c>
      <c r="B15" s="19" t="s">
        <v>36</v>
      </c>
      <c r="C15" s="27" t="s">
        <v>96</v>
      </c>
      <c r="D15" s="19" t="s">
        <v>38</v>
      </c>
      <c r="E15" s="18">
        <f t="shared" si="0"/>
        <v>0.85</v>
      </c>
      <c r="F15" s="19" t="s">
        <v>47</v>
      </c>
      <c r="G15" s="18">
        <f t="shared" ref="G15:G18" si="12">IF(F15="Low",0.77,IF(F15="High",0.44,0))</f>
        <v>0.77</v>
      </c>
      <c r="H15" s="19" t="s">
        <v>42</v>
      </c>
      <c r="I15" s="18">
        <f t="shared" si="2"/>
        <v>0.85</v>
      </c>
      <c r="J15" s="19" t="s">
        <v>42</v>
      </c>
      <c r="K15" s="18">
        <f t="shared" si="3"/>
        <v>0.85</v>
      </c>
      <c r="L15" s="19" t="s">
        <v>59</v>
      </c>
      <c r="M15" s="18">
        <f t="shared" si="4"/>
        <v>6.42</v>
      </c>
      <c r="N15" s="19" t="s">
        <v>39</v>
      </c>
      <c r="O15" s="19">
        <f t="shared" si="5"/>
        <v>0.56000000000000005</v>
      </c>
      <c r="P15" s="19" t="s">
        <v>39</v>
      </c>
      <c r="Q15" s="19">
        <f t="shared" si="6"/>
        <v>0.56000000000000005</v>
      </c>
      <c r="R15" s="19" t="s">
        <v>42</v>
      </c>
      <c r="S15" s="19">
        <f t="shared" si="7"/>
        <v>0</v>
      </c>
      <c r="T15" s="20">
        <f t="shared" si="8"/>
        <v>9.0641307750000006</v>
      </c>
      <c r="U15" s="21">
        <f t="shared" si="9"/>
        <v>0.80640000000000001</v>
      </c>
      <c r="V15" s="22">
        <f t="shared" si="10"/>
        <v>5.1770880000000004</v>
      </c>
      <c r="W15" s="22">
        <f t="shared" si="11"/>
        <v>3.8870427750000003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50</v>
      </c>
      <c r="B16" s="19" t="s">
        <v>57</v>
      </c>
      <c r="C16" s="27" t="s">
        <v>80</v>
      </c>
      <c r="D16" s="19" t="s">
        <v>66</v>
      </c>
      <c r="E16" s="18">
        <f t="shared" si="0"/>
        <v>0.55000000000000004</v>
      </c>
      <c r="F16" s="19" t="s">
        <v>47</v>
      </c>
      <c r="G16" s="18">
        <f t="shared" si="12"/>
        <v>0.77</v>
      </c>
      <c r="H16" s="19" t="s">
        <v>39</v>
      </c>
      <c r="I16" s="18">
        <f t="shared" si="2"/>
        <v>0.5</v>
      </c>
      <c r="J16" s="19" t="s">
        <v>42</v>
      </c>
      <c r="K16" s="18">
        <f t="shared" si="3"/>
        <v>0.85</v>
      </c>
      <c r="L16" s="19" t="s">
        <v>41</v>
      </c>
      <c r="M16" s="18">
        <f t="shared" si="4"/>
        <v>7.52</v>
      </c>
      <c r="N16" s="19" t="s">
        <v>39</v>
      </c>
      <c r="O16" s="19">
        <f t="shared" si="5"/>
        <v>0.56000000000000005</v>
      </c>
      <c r="P16" s="19" t="s">
        <v>39</v>
      </c>
      <c r="Q16" s="19">
        <f t="shared" si="6"/>
        <v>0.56000000000000005</v>
      </c>
      <c r="R16" s="19" t="s">
        <v>39</v>
      </c>
      <c r="S16" s="19">
        <f t="shared" si="7"/>
        <v>0.56000000000000005</v>
      </c>
      <c r="T16" s="20">
        <f t="shared" si="8"/>
        <v>8.1294059608680804</v>
      </c>
      <c r="U16" s="21">
        <f t="shared" si="9"/>
        <v>0.91481600000000007</v>
      </c>
      <c r="V16" s="22">
        <f t="shared" si="10"/>
        <v>6.0477304915445185</v>
      </c>
      <c r="W16" s="22">
        <f t="shared" si="11"/>
        <v>1.4794972500000001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104</v>
      </c>
      <c r="B17" s="19" t="s">
        <v>51</v>
      </c>
      <c r="C17" s="19" t="s">
        <v>105</v>
      </c>
      <c r="D17" s="19" t="s">
        <v>38</v>
      </c>
      <c r="E17" s="18">
        <f t="shared" si="0"/>
        <v>0.85</v>
      </c>
      <c r="F17" s="19" t="s">
        <v>47</v>
      </c>
      <c r="G17" s="18">
        <f t="shared" si="12"/>
        <v>0.77</v>
      </c>
      <c r="H17" s="19" t="s">
        <v>47</v>
      </c>
      <c r="I17" s="18">
        <f t="shared" si="2"/>
        <v>0.62</v>
      </c>
      <c r="J17" s="19" t="s">
        <v>42</v>
      </c>
      <c r="K17" s="18">
        <f t="shared" si="3"/>
        <v>0.85</v>
      </c>
      <c r="L17" s="19" t="s">
        <v>59</v>
      </c>
      <c r="M17" s="18">
        <f t="shared" si="4"/>
        <v>6.42</v>
      </c>
      <c r="N17" s="19" t="s">
        <v>39</v>
      </c>
      <c r="O17" s="19">
        <f t="shared" si="5"/>
        <v>0.56000000000000005</v>
      </c>
      <c r="P17" s="19" t="s">
        <v>39</v>
      </c>
      <c r="Q17" s="19">
        <f t="shared" si="6"/>
        <v>0.56000000000000005</v>
      </c>
      <c r="R17" s="19" t="s">
        <v>42</v>
      </c>
      <c r="S17" s="19">
        <f t="shared" si="7"/>
        <v>0</v>
      </c>
      <c r="T17" s="20">
        <f t="shared" si="8"/>
        <v>8.0123427300000003</v>
      </c>
      <c r="U17" s="21">
        <f t="shared" si="9"/>
        <v>0.80640000000000001</v>
      </c>
      <c r="V17" s="22">
        <f t="shared" si="10"/>
        <v>5.1770880000000004</v>
      </c>
      <c r="W17" s="22">
        <f t="shared" si="11"/>
        <v>2.8352547299999999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 t="s">
        <v>35</v>
      </c>
      <c r="B18" s="19" t="s">
        <v>51</v>
      </c>
      <c r="C18" s="27" t="s">
        <v>87</v>
      </c>
      <c r="D18" s="19" t="s">
        <v>38</v>
      </c>
      <c r="E18" s="18">
        <f t="shared" si="0"/>
        <v>0.85</v>
      </c>
      <c r="F18" s="19" t="s">
        <v>39</v>
      </c>
      <c r="G18" s="18">
        <f t="shared" si="12"/>
        <v>0.44</v>
      </c>
      <c r="H18" s="19" t="s">
        <v>39</v>
      </c>
      <c r="I18" s="18">
        <f t="shared" si="2"/>
        <v>0.27</v>
      </c>
      <c r="J18" s="19" t="s">
        <v>42</v>
      </c>
      <c r="K18" s="18">
        <f t="shared" si="3"/>
        <v>0.85</v>
      </c>
      <c r="L18" s="19" t="s">
        <v>59</v>
      </c>
      <c r="M18" s="18">
        <f t="shared" si="4"/>
        <v>6.42</v>
      </c>
      <c r="N18" s="19" t="s">
        <v>39</v>
      </c>
      <c r="O18" s="19">
        <f t="shared" si="5"/>
        <v>0.56000000000000005</v>
      </c>
      <c r="P18" s="19" t="s">
        <v>42</v>
      </c>
      <c r="Q18" s="19">
        <f t="shared" si="6"/>
        <v>0</v>
      </c>
      <c r="R18" s="19" t="s">
        <v>42</v>
      </c>
      <c r="S18" s="19">
        <f t="shared" si="7"/>
        <v>0</v>
      </c>
      <c r="T18" s="20">
        <f t="shared" si="8"/>
        <v>4.3007472600000005</v>
      </c>
      <c r="U18" s="21">
        <f t="shared" si="9"/>
        <v>0.56000000000000005</v>
      </c>
      <c r="V18" s="22">
        <f t="shared" si="10"/>
        <v>3.5952000000000002</v>
      </c>
      <c r="W18" s="22">
        <f t="shared" si="11"/>
        <v>0.70554726000000001</v>
      </c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>
        <f>SUM(T5:T18)</f>
        <v>100.6520219231156</v>
      </c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14" xr:uid="{00000000-0002-0000-0F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8 P5:P18 R5:R18" xr:uid="{00000000-0002-0000-0F00-000001000000}">
      <formula1>"High,Low,None"</formula1>
    </dataValidation>
    <dataValidation type="list" allowBlank="1" showErrorMessage="1" sqref="B5:B18" xr:uid="{00000000-0002-0000-0F00-000002000000}">
      <formula1>"Spoofing ,Tampering,Repudiation,Information Disclosure,Denial of Service,Elevation of Privilage"</formula1>
    </dataValidation>
    <dataValidation type="list" allowBlank="1" showErrorMessage="1" sqref="L5:L18" xr:uid="{00000000-0002-0000-0F00-000003000000}">
      <formula1>"Unchanged,Changed"</formula1>
    </dataValidation>
    <dataValidation type="list" allowBlank="1" showErrorMessage="1" sqref="F5:F18" xr:uid="{00000000-0002-0000-0F00-000004000000}">
      <formula1>"Low,High"</formula1>
    </dataValidation>
    <dataValidation type="list" allowBlank="1" showErrorMessage="1" sqref="D5:D18" xr:uid="{00000000-0002-0000-0F00-000005000000}">
      <formula1>"Network,Adjacent Network,Local,Physical"</formula1>
    </dataValidation>
    <dataValidation type="list" allowBlank="1" showErrorMessage="1" sqref="A5:A7 A9:A11 A13 A15:A18" xr:uid="{00000000-0002-0000-0F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8" xr:uid="{00000000-0002-0000-0F00-000007000000}">
      <formula1>"None,Required"</formula1>
    </dataValidation>
    <dataValidation type="list" allowBlank="1" showErrorMessage="1" sqref="H5:H18" xr:uid="{00000000-0002-0000-0F00-000008000000}">
      <formula1>"None,Low,High"</formula1>
    </dataValidation>
    <dataValidation type="list" allowBlank="1" showErrorMessage="1" sqref="A8 A12" xr:uid="{00000000-0002-0000-0F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3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 ht="15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 ht="15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 ht="15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">
      <c r="A5" s="17" t="s">
        <v>48</v>
      </c>
      <c r="B5" s="17" t="s">
        <v>44</v>
      </c>
      <c r="C5" s="19" t="s">
        <v>82</v>
      </c>
      <c r="D5" s="19" t="s">
        <v>38</v>
      </c>
      <c r="E5" s="18">
        <f t="shared" ref="E5:E11" si="0">IF(D5="Network",0.85,IF(D5="Adjacent Network",0.62,IF(D5="Local",0.55,IF(D5="Physical",0.2,0))))</f>
        <v>0.85</v>
      </c>
      <c r="F5" s="19" t="s">
        <v>47</v>
      </c>
      <c r="G5" s="18">
        <f t="shared" ref="G5:G7" si="1">IF(F5="High",0.44,IF(F5="Low",0.77,0))</f>
        <v>0.77</v>
      </c>
      <c r="H5" s="19" t="s">
        <v>42</v>
      </c>
      <c r="I5" s="18">
        <f t="shared" ref="I5:I11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1" si="3">IF(J5="Required",0.62,IF(J5="None",0.85,0))</f>
        <v>0.85</v>
      </c>
      <c r="L5" s="19" t="s">
        <v>59</v>
      </c>
      <c r="M5" s="18">
        <f t="shared" ref="M5:M11" si="4">IF(L5="Changed",7.52,IF(L5="Unchanged",6.42,0))</f>
        <v>6.42</v>
      </c>
      <c r="N5" s="19" t="s">
        <v>39</v>
      </c>
      <c r="O5" s="19">
        <f t="shared" ref="O5:O11" si="5">IF(N5="High",0.56,IF(N5="Low",0.22,IF(N5="None",0,0)))</f>
        <v>0.56000000000000005</v>
      </c>
      <c r="P5" s="19" t="s">
        <v>39</v>
      </c>
      <c r="Q5" s="19">
        <f t="shared" ref="Q5:Q11" si="6">IF(P5="High",0.56,IF(P5="Low",0.22,IF(P5="None",0,0)))</f>
        <v>0.56000000000000005</v>
      </c>
      <c r="R5" s="19" t="s">
        <v>39</v>
      </c>
      <c r="S5" s="19">
        <f t="shared" ref="S5:S11" si="7">IF(R5="High",0.56,IF(R5="Low",0.22,IF(R5="None",0,0)))</f>
        <v>0.56000000000000005</v>
      </c>
      <c r="T5" s="20">
        <f t="shared" ref="T5:T11" si="8">IF(V5&lt;=0,0,IF(L5="Unchanged",MIN(W5+V5,10),MIN((W5+V5)*1.08,10)))</f>
        <v>9.760161495000002</v>
      </c>
      <c r="U5" s="21">
        <f t="shared" ref="U5:U11" si="9">(1-((1-O5)*(1-Q5)*(1-S5)))</f>
        <v>0.91481600000000007</v>
      </c>
      <c r="V5" s="22">
        <f t="shared" ref="V5:V11" si="10">IF(L5="Unchanged",M5*U5,M5*(U5-0.029)-3.25*POWER(U5-0.02,15))</f>
        <v>5.8731187200000008</v>
      </c>
      <c r="W5" s="22">
        <f t="shared" ref="W5:W11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 ht="15">
      <c r="A6" s="17" t="s">
        <v>48</v>
      </c>
      <c r="B6" s="17" t="s">
        <v>57</v>
      </c>
      <c r="C6" s="28" t="s">
        <v>58</v>
      </c>
      <c r="D6" s="17" t="s">
        <v>38</v>
      </c>
      <c r="E6" s="29">
        <f t="shared" si="0"/>
        <v>0.85</v>
      </c>
      <c r="F6" s="17" t="s">
        <v>39</v>
      </c>
      <c r="G6" s="29">
        <f t="shared" si="1"/>
        <v>0.44</v>
      </c>
      <c r="H6" s="17" t="s">
        <v>42</v>
      </c>
      <c r="I6" s="29">
        <f t="shared" si="2"/>
        <v>0.85</v>
      </c>
      <c r="J6" s="17" t="s">
        <v>40</v>
      </c>
      <c r="K6" s="29">
        <f t="shared" si="3"/>
        <v>0.62</v>
      </c>
      <c r="L6" s="17" t="s">
        <v>59</v>
      </c>
      <c r="M6" s="29">
        <f t="shared" si="4"/>
        <v>6.42</v>
      </c>
      <c r="N6" s="17" t="s">
        <v>42</v>
      </c>
      <c r="O6" s="17">
        <f t="shared" si="5"/>
        <v>0</v>
      </c>
      <c r="P6" s="17" t="s">
        <v>42</v>
      </c>
      <c r="Q6" s="17">
        <f t="shared" si="6"/>
        <v>0</v>
      </c>
      <c r="R6" s="17" t="s">
        <v>39</v>
      </c>
      <c r="S6" s="17">
        <f t="shared" si="7"/>
        <v>0.56000000000000005</v>
      </c>
      <c r="T6" s="20">
        <f t="shared" si="8"/>
        <v>5.2153455600000003</v>
      </c>
      <c r="U6" s="21">
        <f t="shared" si="9"/>
        <v>0.56000000000000005</v>
      </c>
      <c r="V6" s="22">
        <f t="shared" si="10"/>
        <v>3.5952000000000002</v>
      </c>
      <c r="W6" s="22">
        <f t="shared" si="11"/>
        <v>1.6201455599999999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 ht="18" customHeight="1">
      <c r="A7" s="17" t="s">
        <v>35</v>
      </c>
      <c r="B7" s="19" t="s">
        <v>36</v>
      </c>
      <c r="C7" s="19" t="s">
        <v>37</v>
      </c>
      <c r="D7" s="19" t="s">
        <v>38</v>
      </c>
      <c r="E7" s="18">
        <f t="shared" si="0"/>
        <v>0.85</v>
      </c>
      <c r="F7" s="19" t="s">
        <v>39</v>
      </c>
      <c r="G7" s="18">
        <f t="shared" si="1"/>
        <v>0.44</v>
      </c>
      <c r="H7" s="19" t="s">
        <v>39</v>
      </c>
      <c r="I7" s="18">
        <f t="shared" si="2"/>
        <v>0.5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7.2475103892186867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0.95302679999999995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">
      <c r="A8" s="17" t="s">
        <v>83</v>
      </c>
      <c r="B8" s="19" t="s">
        <v>51</v>
      </c>
      <c r="C8" s="19" t="s">
        <v>84</v>
      </c>
      <c r="D8" s="19" t="s">
        <v>38</v>
      </c>
      <c r="E8" s="18">
        <f t="shared" si="0"/>
        <v>0.85</v>
      </c>
      <c r="F8" s="19" t="s">
        <v>39</v>
      </c>
      <c r="G8" s="18">
        <f t="shared" ref="G8:G11" si="12">IF(F8="Low",0.77,IF(F8="High",0.44,0))</f>
        <v>0.44</v>
      </c>
      <c r="H8" s="19" t="s">
        <v>47</v>
      </c>
      <c r="I8" s="18">
        <f t="shared" si="2"/>
        <v>0.62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47</v>
      </c>
      <c r="O8" s="19">
        <f t="shared" si="5"/>
        <v>0.22</v>
      </c>
      <c r="P8" s="19" t="s">
        <v>42</v>
      </c>
      <c r="Q8" s="19">
        <f t="shared" si="6"/>
        <v>0</v>
      </c>
      <c r="R8" s="19" t="s">
        <v>42</v>
      </c>
      <c r="S8" s="19">
        <f t="shared" si="7"/>
        <v>0</v>
      </c>
      <c r="T8" s="20">
        <f t="shared" si="8"/>
        <v>3.03254556</v>
      </c>
      <c r="U8" s="21">
        <f t="shared" si="9"/>
        <v>0.21999999999999997</v>
      </c>
      <c r="V8" s="22">
        <f t="shared" si="10"/>
        <v>1.4123999999999999</v>
      </c>
      <c r="W8" s="22">
        <f t="shared" si="11"/>
        <v>1.6201455599999999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">
      <c r="A9" s="17" t="s">
        <v>85</v>
      </c>
      <c r="B9" s="19" t="s">
        <v>51</v>
      </c>
      <c r="C9" s="18" t="s">
        <v>128</v>
      </c>
      <c r="D9" s="19" t="s">
        <v>38</v>
      </c>
      <c r="E9" s="18">
        <f t="shared" si="0"/>
        <v>0.85</v>
      </c>
      <c r="F9" s="19" t="s">
        <v>47</v>
      </c>
      <c r="G9" s="18">
        <f t="shared" si="12"/>
        <v>0.77</v>
      </c>
      <c r="H9" s="19" t="s">
        <v>39</v>
      </c>
      <c r="I9" s="18">
        <f t="shared" si="2"/>
        <v>0.27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42</v>
      </c>
      <c r="Q9" s="19">
        <f t="shared" si="6"/>
        <v>0</v>
      </c>
      <c r="R9" s="19" t="s">
        <v>42</v>
      </c>
      <c r="S9" s="19">
        <f t="shared" si="7"/>
        <v>0</v>
      </c>
      <c r="T9" s="20">
        <f t="shared" si="8"/>
        <v>4.8299077050000001</v>
      </c>
      <c r="U9" s="21">
        <f t="shared" si="9"/>
        <v>0.56000000000000005</v>
      </c>
      <c r="V9" s="22">
        <f t="shared" si="10"/>
        <v>3.5952000000000002</v>
      </c>
      <c r="W9" s="22">
        <f t="shared" si="11"/>
        <v>1.2347077050000002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">
      <c r="A10" s="17" t="s">
        <v>35</v>
      </c>
      <c r="B10" s="19" t="s">
        <v>51</v>
      </c>
      <c r="C10" s="19" t="s">
        <v>87</v>
      </c>
      <c r="D10" s="19" t="s">
        <v>38</v>
      </c>
      <c r="E10" s="18">
        <f t="shared" si="0"/>
        <v>0.85</v>
      </c>
      <c r="F10" s="19" t="s">
        <v>39</v>
      </c>
      <c r="G10" s="18">
        <f t="shared" si="12"/>
        <v>0.44</v>
      </c>
      <c r="H10" s="19" t="s">
        <v>39</v>
      </c>
      <c r="I10" s="18">
        <f t="shared" si="2"/>
        <v>0.27</v>
      </c>
      <c r="J10" s="19" t="s">
        <v>42</v>
      </c>
      <c r="K10" s="18">
        <f t="shared" si="3"/>
        <v>0.85</v>
      </c>
      <c r="L10" s="19" t="s">
        <v>59</v>
      </c>
      <c r="M10" s="18">
        <f t="shared" si="4"/>
        <v>6.42</v>
      </c>
      <c r="N10" s="19" t="s">
        <v>39</v>
      </c>
      <c r="O10" s="19">
        <f t="shared" si="5"/>
        <v>0.56000000000000005</v>
      </c>
      <c r="P10" s="19" t="s">
        <v>42</v>
      </c>
      <c r="Q10" s="19">
        <f t="shared" si="6"/>
        <v>0</v>
      </c>
      <c r="R10" s="19" t="s">
        <v>42</v>
      </c>
      <c r="S10" s="19">
        <f t="shared" si="7"/>
        <v>0</v>
      </c>
      <c r="T10" s="20">
        <f t="shared" si="8"/>
        <v>4.3007472600000005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0.70554726000000001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 ht="15">
      <c r="A11" s="17" t="s">
        <v>85</v>
      </c>
      <c r="B11" s="19" t="s">
        <v>44</v>
      </c>
      <c r="C11" s="19" t="s">
        <v>88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42</v>
      </c>
      <c r="I11" s="18">
        <f t="shared" si="2"/>
        <v>0.85</v>
      </c>
      <c r="J11" s="19" t="s">
        <v>42</v>
      </c>
      <c r="K11" s="18">
        <f t="shared" si="3"/>
        <v>0.85</v>
      </c>
      <c r="L11" s="19" t="s">
        <v>59</v>
      </c>
      <c r="M11" s="18">
        <f t="shared" si="4"/>
        <v>6.42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39</v>
      </c>
      <c r="S11" s="19">
        <f t="shared" si="7"/>
        <v>0.56000000000000005</v>
      </c>
      <c r="T11" s="20">
        <f t="shared" si="8"/>
        <v>9.760161495000002</v>
      </c>
      <c r="U11" s="21">
        <f t="shared" si="9"/>
        <v>0.91481600000000007</v>
      </c>
      <c r="V11" s="22">
        <f t="shared" si="10"/>
        <v>5.8731187200000008</v>
      </c>
      <c r="W11" s="22">
        <f t="shared" si="11"/>
        <v>3.8870427750000003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>
        <f>SUM(T5:T11)</f>
        <v>44.146379464218683</v>
      </c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5" spans="1:34" ht="1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 ht="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 ht="1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 ht="1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 ht="1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 ht="1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 ht="1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 ht="1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 ht="1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 ht="1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 ht="15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 ht="15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15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15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15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 ht="15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 ht="15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 ht="15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 ht="15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 ht="15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 ht="15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">
      <c r="T42" s="20"/>
      <c r="U42" s="21"/>
      <c r="V42" s="22"/>
      <c r="W42" s="22"/>
    </row>
    <row r="43" spans="1:34" ht="15">
      <c r="T43" s="20"/>
      <c r="U43" s="21"/>
      <c r="V43" s="22"/>
      <c r="W43" s="22"/>
    </row>
    <row r="44" spans="1:34" ht="15">
      <c r="T44" s="20"/>
      <c r="U44" s="21"/>
      <c r="V44" s="22"/>
      <c r="W44" s="22"/>
    </row>
    <row r="45" spans="1:34" ht="15">
      <c r="T45" s="20"/>
      <c r="U45" s="21"/>
      <c r="V45" s="22"/>
      <c r="W45" s="22"/>
    </row>
    <row r="46" spans="1:34" ht="15">
      <c r="T46" s="20"/>
      <c r="U46" s="21"/>
      <c r="V46" s="22"/>
      <c r="W46" s="22"/>
    </row>
    <row r="47" spans="1:34" ht="15">
      <c r="T47" s="20"/>
      <c r="U47" s="21"/>
      <c r="V47" s="22"/>
      <c r="W47" s="22"/>
    </row>
    <row r="48" spans="1:34" ht="15">
      <c r="T48" s="20"/>
      <c r="U48" s="21"/>
      <c r="V48" s="22"/>
      <c r="W48" s="22"/>
    </row>
    <row r="49" spans="20:23" ht="15">
      <c r="T49" s="20"/>
      <c r="U49" s="21"/>
      <c r="V49" s="22"/>
      <c r="W49" s="22"/>
    </row>
    <row r="50" spans="20:23" ht="15">
      <c r="T50" s="20"/>
      <c r="U50" s="21"/>
      <c r="V50" s="22"/>
      <c r="W50" s="22"/>
    </row>
    <row r="51" spans="20:23" ht="15">
      <c r="T51" s="20"/>
      <c r="U51" s="21"/>
      <c r="V51" s="22"/>
      <c r="W51" s="22"/>
    </row>
    <row r="52" spans="20:23" ht="15">
      <c r="T52" s="20"/>
      <c r="U52" s="21"/>
      <c r="V52" s="22"/>
      <c r="W52" s="22"/>
    </row>
    <row r="53" spans="20:23" ht="15">
      <c r="T53" s="20"/>
      <c r="U53" s="21"/>
      <c r="V53" s="22"/>
      <c r="W53" s="22"/>
    </row>
    <row r="54" spans="20:23" ht="15">
      <c r="T54" s="20"/>
      <c r="U54" s="21"/>
      <c r="V54" s="22"/>
      <c r="W54" s="22"/>
    </row>
    <row r="55" spans="20:23" ht="15">
      <c r="T55" s="20"/>
      <c r="U55" s="21"/>
      <c r="V55" s="22"/>
      <c r="W55" s="22"/>
    </row>
    <row r="56" spans="20:23" ht="15">
      <c r="T56" s="20"/>
      <c r="U56" s="21"/>
      <c r="V56" s="22"/>
      <c r="W56" s="22"/>
    </row>
    <row r="57" spans="20:23" ht="15">
      <c r="T57" s="20"/>
      <c r="U57" s="21"/>
      <c r="V57" s="22"/>
      <c r="W57" s="22"/>
    </row>
    <row r="58" spans="20:23" ht="15">
      <c r="T58" s="20"/>
      <c r="U58" s="21"/>
      <c r="V58" s="22"/>
      <c r="W58" s="22"/>
    </row>
    <row r="59" spans="20:23" ht="15">
      <c r="T59" s="20"/>
      <c r="U59" s="21"/>
      <c r="V59" s="22"/>
      <c r="W59" s="22"/>
    </row>
    <row r="60" spans="20:23" ht="15">
      <c r="T60" s="20"/>
      <c r="U60" s="21"/>
      <c r="V60" s="22"/>
      <c r="W60" s="22"/>
    </row>
    <row r="61" spans="20:23" ht="15">
      <c r="T61" s="20"/>
      <c r="U61" s="21"/>
      <c r="V61" s="22"/>
      <c r="W61" s="22"/>
    </row>
    <row r="62" spans="20:23" ht="15">
      <c r="T62" s="20"/>
      <c r="U62" s="21"/>
      <c r="V62" s="22"/>
      <c r="W62" s="22"/>
    </row>
    <row r="63" spans="20:23" ht="15">
      <c r="T63" s="20"/>
      <c r="U63" s="21"/>
      <c r="V63" s="22"/>
      <c r="W63" s="22"/>
    </row>
    <row r="64" spans="20:23" ht="15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6" xr:uid="{00000000-0002-0000-10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1 P5:P11 R5:R11" xr:uid="{00000000-0002-0000-1000-000001000000}">
      <formula1>"High,Low,None"</formula1>
    </dataValidation>
    <dataValidation type="list" allowBlank="1" showErrorMessage="1" sqref="B5:B11" xr:uid="{00000000-0002-0000-1000-000002000000}">
      <formula1>"Spoofing ,Tampering,Repudiation,Information Disclosure,Denial of Service,Elevation of Privilage"</formula1>
    </dataValidation>
    <dataValidation type="list" allowBlank="1" showErrorMessage="1" sqref="L5:L11" xr:uid="{00000000-0002-0000-1000-000003000000}">
      <formula1>"Unchanged,Changed"</formula1>
    </dataValidation>
    <dataValidation type="list" allowBlank="1" showErrorMessage="1" sqref="F5:F11" xr:uid="{00000000-0002-0000-1000-000004000000}">
      <formula1>"Low,High"</formula1>
    </dataValidation>
    <dataValidation type="list" allowBlank="1" showErrorMessage="1" sqref="D5:D11" xr:uid="{00000000-0002-0000-1000-000005000000}">
      <formula1>"Network,Adjacent Network,Local,Physical"</formula1>
    </dataValidation>
    <dataValidation type="list" allowBlank="1" showErrorMessage="1" sqref="A5 A8:A11" xr:uid="{00000000-0002-0000-10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1" xr:uid="{00000000-0002-0000-1000-000007000000}">
      <formula1>"None,Required"</formula1>
    </dataValidation>
    <dataValidation type="list" allowBlank="1" showErrorMessage="1" sqref="H5:H11" xr:uid="{00000000-0002-0000-1000-000008000000}">
      <formula1>"None,Low,High"</formula1>
    </dataValidation>
    <dataValidation type="list" allowBlank="1" showErrorMessage="1" sqref="A7" xr:uid="{00000000-0002-0000-10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8.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90</v>
      </c>
      <c r="B5" s="19" t="s">
        <v>44</v>
      </c>
      <c r="C5" s="19" t="s">
        <v>91</v>
      </c>
      <c r="D5" s="19" t="s">
        <v>38</v>
      </c>
      <c r="E5" s="18">
        <f t="shared" ref="E5:E14" si="0">IF(D5="Network",0.85,IF(D5="Adjacent Network",0.62,IF(D5="Local",0.55,IF(D5="Physical",0.2,0))))</f>
        <v>0.85</v>
      </c>
      <c r="F5" s="19" t="s">
        <v>47</v>
      </c>
      <c r="G5" s="18">
        <f t="shared" ref="G5:G9" si="1">IF(F5="Low",0.77,IF(F5="High",0.44,0))</f>
        <v>0.77</v>
      </c>
      <c r="H5" s="19" t="s">
        <v>42</v>
      </c>
      <c r="I5" s="18">
        <f t="shared" ref="I5:I14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4" si="3">IF(J5="Required",0.62,IF(J5="None",0.85,0))</f>
        <v>0.85</v>
      </c>
      <c r="L5" s="19" t="s">
        <v>59</v>
      </c>
      <c r="M5" s="18">
        <f t="shared" ref="M5:M14" si="4">IF(L5="Changed",7.52,IF(L5="Unchanged",6.42,0))</f>
        <v>6.42</v>
      </c>
      <c r="N5" s="19" t="s">
        <v>47</v>
      </c>
      <c r="O5" s="19">
        <f t="shared" ref="O5:O14" si="5">IF(N5="High",0.56,IF(N5="Low",0.22,IF(N5="None",0,0)))</f>
        <v>0.22</v>
      </c>
      <c r="P5" s="19" t="s">
        <v>39</v>
      </c>
      <c r="Q5" s="19">
        <f t="shared" ref="Q5:Q14" si="6">IF(P5="High",0.56,IF(P5="Low",0.22,IF(P5="None",0,0)))</f>
        <v>0.56000000000000005</v>
      </c>
      <c r="R5" s="19" t="s">
        <v>39</v>
      </c>
      <c r="S5" s="19">
        <f t="shared" ref="S5:S14" si="7">IF(R5="High",0.56,IF(R5="Low",0.22,IF(R5="None",0,0)))</f>
        <v>0.56000000000000005</v>
      </c>
      <c r="T5" s="20">
        <f t="shared" ref="T5:T14" si="8">IF(V5&lt;=0,0,IF(L5="Unchanged",MIN(W5+V5,10),MIN((W5+V5)*1.08,10)))</f>
        <v>9.3375714150000011</v>
      </c>
      <c r="U5" s="21">
        <f t="shared" ref="U5:U14" si="9">(1-((1-O5)*(1-Q5)*(1-S5)))</f>
        <v>0.84899200000000008</v>
      </c>
      <c r="V5" s="22">
        <f t="shared" ref="V5:V14" si="10">IF(L5="Unchanged",M5*U5,M5*(U5-0.029)-3.25*POWER(U5-0.02,15))</f>
        <v>5.4505286400000008</v>
      </c>
      <c r="W5" s="22">
        <f t="shared" ref="W5:W14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85</v>
      </c>
      <c r="B6" s="19" t="s">
        <v>44</v>
      </c>
      <c r="C6" s="19" t="s">
        <v>88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39</v>
      </c>
      <c r="S6" s="19">
        <f t="shared" si="7"/>
        <v>0.56000000000000005</v>
      </c>
      <c r="T6" s="20">
        <f t="shared" si="8"/>
        <v>9.760161495000002</v>
      </c>
      <c r="U6" s="21">
        <f t="shared" si="9"/>
        <v>0.91481600000000007</v>
      </c>
      <c r="V6" s="22">
        <f t="shared" si="10"/>
        <v>5.8731187200000008</v>
      </c>
      <c r="W6" s="22">
        <f t="shared" si="11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43</v>
      </c>
      <c r="B7" s="19" t="s">
        <v>36</v>
      </c>
      <c r="C7" s="19" t="s">
        <v>129</v>
      </c>
      <c r="D7" s="19" t="s">
        <v>46</v>
      </c>
      <c r="E7" s="18">
        <f t="shared" si="0"/>
        <v>0.62</v>
      </c>
      <c r="F7" s="19" t="s">
        <v>39</v>
      </c>
      <c r="G7" s="18">
        <f t="shared" si="1"/>
        <v>0.44</v>
      </c>
      <c r="H7" s="19" t="s">
        <v>42</v>
      </c>
      <c r="I7" s="18">
        <f t="shared" si="2"/>
        <v>0.85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7.4945349357786872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1.1817532319999999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43</v>
      </c>
      <c r="B8" s="19" t="s">
        <v>51</v>
      </c>
      <c r="C8" s="19" t="s">
        <v>100</v>
      </c>
      <c r="D8" s="19" t="s">
        <v>38</v>
      </c>
      <c r="E8" s="18">
        <f t="shared" si="0"/>
        <v>0.85</v>
      </c>
      <c r="F8" s="19" t="s">
        <v>47</v>
      </c>
      <c r="G8" s="18">
        <f t="shared" si="1"/>
        <v>0.77</v>
      </c>
      <c r="H8" s="19" t="s">
        <v>42</v>
      </c>
      <c r="I8" s="18">
        <f t="shared" si="2"/>
        <v>0.85</v>
      </c>
      <c r="J8" s="19" t="s">
        <v>40</v>
      </c>
      <c r="K8" s="18">
        <f t="shared" si="3"/>
        <v>0.62</v>
      </c>
      <c r="L8" s="19" t="s">
        <v>41</v>
      </c>
      <c r="M8" s="18">
        <f t="shared" si="4"/>
        <v>7.52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42</v>
      </c>
      <c r="S8" s="19">
        <f t="shared" si="7"/>
        <v>0</v>
      </c>
      <c r="T8" s="20">
        <f t="shared" si="8"/>
        <v>9.2803165536186878</v>
      </c>
      <c r="U8" s="21">
        <f t="shared" si="9"/>
        <v>0.80640000000000001</v>
      </c>
      <c r="V8" s="22">
        <f t="shared" si="10"/>
        <v>5.7576309677950803</v>
      </c>
      <c r="W8" s="22">
        <f t="shared" si="11"/>
        <v>2.8352547300000004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.75" customHeight="1">
      <c r="A9" s="17" t="s">
        <v>56</v>
      </c>
      <c r="B9" s="17" t="s">
        <v>63</v>
      </c>
      <c r="C9" s="17" t="s">
        <v>64</v>
      </c>
      <c r="D9" s="17" t="s">
        <v>38</v>
      </c>
      <c r="E9" s="29">
        <f t="shared" si="0"/>
        <v>0.85</v>
      </c>
      <c r="F9" s="17" t="s">
        <v>39</v>
      </c>
      <c r="G9" s="29">
        <f t="shared" si="1"/>
        <v>0.44</v>
      </c>
      <c r="H9" s="17" t="s">
        <v>47</v>
      </c>
      <c r="I9" s="29">
        <f t="shared" si="2"/>
        <v>0.68</v>
      </c>
      <c r="J9" s="17" t="s">
        <v>40</v>
      </c>
      <c r="K9" s="29">
        <f t="shared" si="3"/>
        <v>0.62</v>
      </c>
      <c r="L9" s="17" t="s">
        <v>41</v>
      </c>
      <c r="M9" s="29">
        <f t="shared" si="4"/>
        <v>7.52</v>
      </c>
      <c r="N9" s="17" t="s">
        <v>39</v>
      </c>
      <c r="O9" s="17">
        <f t="shared" si="5"/>
        <v>0.56000000000000005</v>
      </c>
      <c r="P9" s="17" t="s">
        <v>42</v>
      </c>
      <c r="Q9" s="17">
        <f t="shared" si="6"/>
        <v>0</v>
      </c>
      <c r="R9" s="17" t="s">
        <v>42</v>
      </c>
      <c r="S9" s="17">
        <f t="shared" si="7"/>
        <v>0</v>
      </c>
      <c r="T9" s="20">
        <f t="shared" si="8"/>
        <v>5.7120355715551225</v>
      </c>
      <c r="U9" s="21">
        <f t="shared" si="9"/>
        <v>0.56000000000000005</v>
      </c>
      <c r="V9" s="22">
        <f t="shared" si="10"/>
        <v>3.9928053775140029</v>
      </c>
      <c r="W9" s="22">
        <f t="shared" si="11"/>
        <v>1.2961164479999998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 ht="15.75" customHeight="1">
      <c r="A10" s="17" t="s">
        <v>56</v>
      </c>
      <c r="B10" s="17" t="s">
        <v>57</v>
      </c>
      <c r="C10" s="28" t="s">
        <v>58</v>
      </c>
      <c r="D10" s="17" t="s">
        <v>38</v>
      </c>
      <c r="E10" s="29">
        <f t="shared" si="0"/>
        <v>0.85</v>
      </c>
      <c r="F10" s="17" t="s">
        <v>39</v>
      </c>
      <c r="G10" s="29">
        <f>IF(F10="High",0.44,IF(F10="Low",0.77,0))</f>
        <v>0.44</v>
      </c>
      <c r="H10" s="17" t="s">
        <v>42</v>
      </c>
      <c r="I10" s="29">
        <f t="shared" si="2"/>
        <v>0.85</v>
      </c>
      <c r="J10" s="17" t="s">
        <v>40</v>
      </c>
      <c r="K10" s="29">
        <f t="shared" si="3"/>
        <v>0.62</v>
      </c>
      <c r="L10" s="17" t="s">
        <v>59</v>
      </c>
      <c r="M10" s="29">
        <f t="shared" si="4"/>
        <v>6.42</v>
      </c>
      <c r="N10" s="17" t="s">
        <v>42</v>
      </c>
      <c r="O10" s="17">
        <f t="shared" si="5"/>
        <v>0</v>
      </c>
      <c r="P10" s="17" t="s">
        <v>42</v>
      </c>
      <c r="Q10" s="17">
        <f t="shared" si="6"/>
        <v>0</v>
      </c>
      <c r="R10" s="17" t="s">
        <v>39</v>
      </c>
      <c r="S10" s="17">
        <f t="shared" si="7"/>
        <v>0.56000000000000005</v>
      </c>
      <c r="T10" s="20">
        <f t="shared" si="8"/>
        <v>5.2153455600000003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1.6201455599999999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77</v>
      </c>
      <c r="B11" s="17" t="s">
        <v>63</v>
      </c>
      <c r="C11" s="28" t="s">
        <v>78</v>
      </c>
      <c r="D11" s="17" t="s">
        <v>38</v>
      </c>
      <c r="E11" s="29">
        <f t="shared" si="0"/>
        <v>0.85</v>
      </c>
      <c r="F11" s="17" t="s">
        <v>47</v>
      </c>
      <c r="G11" s="29">
        <f t="shared" ref="G11:G14" si="12">IF(F11="Low",0.77,IF(F11="High",0.44,0))</f>
        <v>0.77</v>
      </c>
      <c r="H11" s="17" t="s">
        <v>47</v>
      </c>
      <c r="I11" s="29">
        <f t="shared" si="2"/>
        <v>0.68</v>
      </c>
      <c r="J11" s="17" t="s">
        <v>40</v>
      </c>
      <c r="K11" s="29">
        <f t="shared" si="3"/>
        <v>0.62</v>
      </c>
      <c r="L11" s="17" t="s">
        <v>41</v>
      </c>
      <c r="M11" s="29">
        <f t="shared" si="4"/>
        <v>7.52</v>
      </c>
      <c r="N11" s="17" t="s">
        <v>39</v>
      </c>
      <c r="O11" s="17">
        <f t="shared" si="5"/>
        <v>0.56000000000000005</v>
      </c>
      <c r="P11" s="17" t="s">
        <v>39</v>
      </c>
      <c r="Q11" s="17">
        <f t="shared" si="6"/>
        <v>0.56000000000000005</v>
      </c>
      <c r="R11" s="17" t="s">
        <v>39</v>
      </c>
      <c r="S11" s="17">
        <f t="shared" si="7"/>
        <v>0.56000000000000005</v>
      </c>
      <c r="T11" s="20">
        <f t="shared" si="8"/>
        <v>8.9812090175880819</v>
      </c>
      <c r="U11" s="21">
        <f t="shared" si="9"/>
        <v>0.91481600000000007</v>
      </c>
      <c r="V11" s="22">
        <f t="shared" si="10"/>
        <v>6.0477304915445185</v>
      </c>
      <c r="W11" s="22">
        <f t="shared" si="11"/>
        <v>2.2682037840000002</v>
      </c>
      <c r="X11" s="29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50</v>
      </c>
      <c r="B12" s="19" t="s">
        <v>36</v>
      </c>
      <c r="C12" s="19" t="s">
        <v>96</v>
      </c>
      <c r="D12" s="19" t="s">
        <v>38</v>
      </c>
      <c r="E12" s="18">
        <f t="shared" si="0"/>
        <v>0.85</v>
      </c>
      <c r="F12" s="19" t="s">
        <v>47</v>
      </c>
      <c r="G12" s="18">
        <f t="shared" si="12"/>
        <v>0.77</v>
      </c>
      <c r="H12" s="19" t="s">
        <v>42</v>
      </c>
      <c r="I12" s="18">
        <f t="shared" si="2"/>
        <v>0.85</v>
      </c>
      <c r="J12" s="19" t="s">
        <v>42</v>
      </c>
      <c r="K12" s="18">
        <f t="shared" si="3"/>
        <v>0.85</v>
      </c>
      <c r="L12" s="19" t="s">
        <v>59</v>
      </c>
      <c r="M12" s="18">
        <f t="shared" si="4"/>
        <v>6.42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9.0641307750000006</v>
      </c>
      <c r="U12" s="21">
        <f t="shared" si="9"/>
        <v>0.80640000000000001</v>
      </c>
      <c r="V12" s="22">
        <f t="shared" si="10"/>
        <v>5.1770880000000004</v>
      </c>
      <c r="W12" s="22">
        <f t="shared" si="11"/>
        <v>3.8870427750000003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53</v>
      </c>
      <c r="B13" s="19" t="s">
        <v>63</v>
      </c>
      <c r="C13" s="19" t="s">
        <v>101</v>
      </c>
      <c r="D13" s="19" t="s">
        <v>38</v>
      </c>
      <c r="E13" s="18">
        <f t="shared" si="0"/>
        <v>0.85</v>
      </c>
      <c r="F13" s="19" t="s">
        <v>47</v>
      </c>
      <c r="G13" s="18">
        <f t="shared" si="12"/>
        <v>0.77</v>
      </c>
      <c r="H13" s="19" t="s">
        <v>47</v>
      </c>
      <c r="I13" s="18">
        <f t="shared" si="2"/>
        <v>0.62</v>
      </c>
      <c r="J13" s="19" t="s">
        <v>42</v>
      </c>
      <c r="K13" s="18">
        <f t="shared" si="3"/>
        <v>0.85</v>
      </c>
      <c r="L13" s="19" t="s">
        <v>59</v>
      </c>
      <c r="M13" s="18">
        <f t="shared" si="4"/>
        <v>6.42</v>
      </c>
      <c r="N13" s="19" t="s">
        <v>47</v>
      </c>
      <c r="O13" s="19">
        <f t="shared" si="5"/>
        <v>0.22</v>
      </c>
      <c r="P13" s="19" t="s">
        <v>39</v>
      </c>
      <c r="Q13" s="19">
        <f t="shared" si="6"/>
        <v>0.56000000000000005</v>
      </c>
      <c r="R13" s="19" t="s">
        <v>42</v>
      </c>
      <c r="S13" s="19">
        <f t="shared" si="7"/>
        <v>0</v>
      </c>
      <c r="T13" s="20">
        <f t="shared" si="8"/>
        <v>7.0519107300000003</v>
      </c>
      <c r="U13" s="21">
        <f t="shared" si="9"/>
        <v>0.65680000000000005</v>
      </c>
      <c r="V13" s="22">
        <f t="shared" si="10"/>
        <v>4.2166560000000004</v>
      </c>
      <c r="W13" s="22">
        <f t="shared" si="11"/>
        <v>2.8352547299999999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.75" customHeight="1">
      <c r="A14" s="17" t="s">
        <v>43</v>
      </c>
      <c r="B14" s="17" t="s">
        <v>63</v>
      </c>
      <c r="C14" s="28" t="s">
        <v>64</v>
      </c>
      <c r="D14" s="17" t="s">
        <v>38</v>
      </c>
      <c r="E14" s="29">
        <f t="shared" si="0"/>
        <v>0.85</v>
      </c>
      <c r="F14" s="17" t="s">
        <v>39</v>
      </c>
      <c r="G14" s="29">
        <f t="shared" si="12"/>
        <v>0.44</v>
      </c>
      <c r="H14" s="17" t="s">
        <v>47</v>
      </c>
      <c r="I14" s="29">
        <f t="shared" si="2"/>
        <v>0.68</v>
      </c>
      <c r="J14" s="17" t="s">
        <v>40</v>
      </c>
      <c r="K14" s="29">
        <f t="shared" si="3"/>
        <v>0.62</v>
      </c>
      <c r="L14" s="17" t="s">
        <v>41</v>
      </c>
      <c r="M14" s="29">
        <f t="shared" si="4"/>
        <v>7.52</v>
      </c>
      <c r="N14" s="17" t="s">
        <v>39</v>
      </c>
      <c r="O14" s="17">
        <f t="shared" si="5"/>
        <v>0.56000000000000005</v>
      </c>
      <c r="P14" s="17" t="s">
        <v>42</v>
      </c>
      <c r="Q14" s="17">
        <f t="shared" si="6"/>
        <v>0</v>
      </c>
      <c r="R14" s="17" t="s">
        <v>42</v>
      </c>
      <c r="S14" s="17">
        <f t="shared" si="7"/>
        <v>0</v>
      </c>
      <c r="T14" s="20">
        <f t="shared" si="8"/>
        <v>5.7120355715551225</v>
      </c>
      <c r="U14" s="21">
        <f t="shared" si="9"/>
        <v>0.56000000000000005</v>
      </c>
      <c r="V14" s="22">
        <f t="shared" si="10"/>
        <v>3.9928053775140029</v>
      </c>
      <c r="W14" s="22">
        <f t="shared" si="11"/>
        <v>1.2961164479999998</v>
      </c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30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>
        <f>SUM(T5:T14)</f>
        <v>77.609251625095709</v>
      </c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4 P5:P14 R5:R14" xr:uid="{00000000-0002-0000-1100-000000000000}">
      <formula1>"High,Low,None"</formula1>
    </dataValidation>
    <dataValidation type="list" allowBlank="1" showErrorMessage="1" sqref="B5:B14" xr:uid="{00000000-0002-0000-1100-000001000000}">
      <formula1>"Spoofing ,Tampering,Repudiation,Information Disclosure,Denial of Service,Elevation of Privilage"</formula1>
    </dataValidation>
    <dataValidation type="list" allowBlank="1" showErrorMessage="1" sqref="L5:L14" xr:uid="{00000000-0002-0000-1100-000002000000}">
      <formula1>"Unchanged,Changed"</formula1>
    </dataValidation>
    <dataValidation type="list" allowBlank="1" showErrorMessage="1" sqref="F5:F14" xr:uid="{00000000-0002-0000-1100-000003000000}">
      <formula1>"Low,High"</formula1>
    </dataValidation>
    <dataValidation type="list" allowBlank="1" showErrorMessage="1" sqref="D5:D14" xr:uid="{00000000-0002-0000-1100-000004000000}">
      <formula1>"Network,Adjacent Network,Local,Physical"</formula1>
    </dataValidation>
    <dataValidation type="list" allowBlank="1" showErrorMessage="1" sqref="A5:A8 A12:A13" xr:uid="{00000000-0002-0000-11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4" xr:uid="{00000000-0002-0000-1100-000006000000}">
      <formula1>"None,Required"</formula1>
    </dataValidation>
    <dataValidation type="list" allowBlank="1" showErrorMessage="1" sqref="H5:H14" xr:uid="{00000000-0002-0000-1100-000007000000}">
      <formula1>"None,Low,High"</formula1>
    </dataValidation>
    <dataValidation type="list" allowBlank="1" showErrorMessage="1" sqref="A9:A11 A14" xr:uid="{00000000-0002-0000-11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28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 ht="15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 ht="15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 ht="15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31">
      <c r="A5" s="17" t="s">
        <v>90</v>
      </c>
      <c r="B5" s="19" t="s">
        <v>44</v>
      </c>
      <c r="C5" s="27" t="s">
        <v>91</v>
      </c>
      <c r="D5" s="19" t="s">
        <v>38</v>
      </c>
      <c r="E5" s="18">
        <f t="shared" ref="E5:E14" si="0">IF(D5="Network",0.85,IF(D5="Adjacent Network",0.62,IF(D5="Local",0.55,IF(D5="Physical",0.2,0))))</f>
        <v>0.85</v>
      </c>
      <c r="F5" s="19" t="s">
        <v>47</v>
      </c>
      <c r="G5" s="18">
        <f t="shared" ref="G5:G6" si="1">IF(F5="Low",0.77,IF(F5="High",0.44,0))</f>
        <v>0.77</v>
      </c>
      <c r="H5" s="19" t="s">
        <v>42</v>
      </c>
      <c r="I5" s="18">
        <f t="shared" ref="I5:I14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4" si="3">IF(J5="Required",0.62,IF(J5="None",0.85,0))</f>
        <v>0.85</v>
      </c>
      <c r="L5" s="19" t="s">
        <v>59</v>
      </c>
      <c r="M5" s="18">
        <f t="shared" ref="M5:M14" si="4">IF(L5="Changed",7.52,IF(L5="Unchanged",6.42,0))</f>
        <v>6.42</v>
      </c>
      <c r="N5" s="19" t="s">
        <v>47</v>
      </c>
      <c r="O5" s="19">
        <f t="shared" ref="O5:O14" si="5">IF(N5="High",0.56,IF(N5="Low",0.22,IF(N5="None",0,0)))</f>
        <v>0.22</v>
      </c>
      <c r="P5" s="19" t="s">
        <v>39</v>
      </c>
      <c r="Q5" s="19">
        <f t="shared" ref="Q5:Q14" si="6">IF(P5="High",0.56,IF(P5="Low",0.22,IF(P5="None",0,0)))</f>
        <v>0.56000000000000005</v>
      </c>
      <c r="R5" s="19" t="s">
        <v>39</v>
      </c>
      <c r="S5" s="19">
        <f t="shared" ref="S5:S14" si="7">IF(R5="High",0.56,IF(R5="Low",0.22,IF(R5="None",0,0)))</f>
        <v>0.56000000000000005</v>
      </c>
      <c r="T5" s="20">
        <f t="shared" ref="T5:T14" si="8">IF(V5&lt;=0,0,IF(L5="Unchanged",MIN(W5+V5,10),MIN((W5+V5)*1.08,10)))</f>
        <v>9.3375714150000011</v>
      </c>
      <c r="U5" s="21">
        <f t="shared" ref="U5:U14" si="9">(1-((1-O5)*(1-Q5)*(1-S5)))</f>
        <v>0.84899200000000008</v>
      </c>
      <c r="V5" s="22">
        <f t="shared" ref="V5:V14" si="10">IF(L5="Unchanged",M5*U5,M5*(U5-0.029)-3.25*POWER(U5-0.02,15))</f>
        <v>5.4505286400000008</v>
      </c>
      <c r="W5" s="22">
        <f t="shared" ref="W5:W14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 ht="16">
      <c r="A6" s="17" t="s">
        <v>48</v>
      </c>
      <c r="B6" s="19" t="s">
        <v>51</v>
      </c>
      <c r="C6" s="27" t="s">
        <v>79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42</v>
      </c>
      <c r="Q6" s="19">
        <f t="shared" si="6"/>
        <v>0</v>
      </c>
      <c r="R6" s="19" t="s">
        <v>42</v>
      </c>
      <c r="S6" s="19">
        <f t="shared" si="7"/>
        <v>0</v>
      </c>
      <c r="T6" s="20">
        <f t="shared" si="8"/>
        <v>7.4822427750000005</v>
      </c>
      <c r="U6" s="21">
        <f t="shared" si="9"/>
        <v>0.56000000000000005</v>
      </c>
      <c r="V6" s="22">
        <f t="shared" si="10"/>
        <v>3.5952000000000002</v>
      </c>
      <c r="W6" s="22">
        <f t="shared" si="11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30">
      <c r="A7" s="17" t="s">
        <v>56</v>
      </c>
      <c r="B7" s="17" t="s">
        <v>57</v>
      </c>
      <c r="C7" s="28" t="s">
        <v>58</v>
      </c>
      <c r="D7" s="17" t="s">
        <v>38</v>
      </c>
      <c r="E7" s="29">
        <f t="shared" si="0"/>
        <v>0.85</v>
      </c>
      <c r="F7" s="17" t="s">
        <v>39</v>
      </c>
      <c r="G7" s="29">
        <f>IF(F7="High",0.44,IF(F7="Low",0.77,0))</f>
        <v>0.44</v>
      </c>
      <c r="H7" s="17" t="s">
        <v>42</v>
      </c>
      <c r="I7" s="29">
        <f t="shared" si="2"/>
        <v>0.85</v>
      </c>
      <c r="J7" s="17" t="s">
        <v>40</v>
      </c>
      <c r="K7" s="29">
        <f t="shared" si="3"/>
        <v>0.62</v>
      </c>
      <c r="L7" s="17" t="s">
        <v>59</v>
      </c>
      <c r="M7" s="29">
        <f t="shared" si="4"/>
        <v>6.42</v>
      </c>
      <c r="N7" s="17" t="s">
        <v>42</v>
      </c>
      <c r="O7" s="17">
        <f t="shared" si="5"/>
        <v>0</v>
      </c>
      <c r="P7" s="17" t="s">
        <v>42</v>
      </c>
      <c r="Q7" s="17">
        <f t="shared" si="6"/>
        <v>0</v>
      </c>
      <c r="R7" s="17" t="s">
        <v>39</v>
      </c>
      <c r="S7" s="17">
        <f t="shared" si="7"/>
        <v>0.56000000000000005</v>
      </c>
      <c r="T7" s="20">
        <f t="shared" si="8"/>
        <v>5.2153455600000003</v>
      </c>
      <c r="U7" s="21">
        <f t="shared" si="9"/>
        <v>0.56000000000000005</v>
      </c>
      <c r="V7" s="22">
        <f t="shared" si="10"/>
        <v>3.5952000000000002</v>
      </c>
      <c r="W7" s="22">
        <f t="shared" si="11"/>
        <v>1.6201455599999999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 ht="16">
      <c r="A8" s="17" t="s">
        <v>43</v>
      </c>
      <c r="B8" s="19" t="s">
        <v>51</v>
      </c>
      <c r="C8" s="27" t="s">
        <v>100</v>
      </c>
      <c r="D8" s="19" t="s">
        <v>38</v>
      </c>
      <c r="E8" s="18">
        <f t="shared" si="0"/>
        <v>0.85</v>
      </c>
      <c r="F8" s="19" t="s">
        <v>47</v>
      </c>
      <c r="G8" s="18">
        <f t="shared" ref="G8:G10" si="12">IF(F8="Low",0.77,IF(F8="High",0.44,0))</f>
        <v>0.77</v>
      </c>
      <c r="H8" s="19" t="s">
        <v>42</v>
      </c>
      <c r="I8" s="18">
        <f t="shared" si="2"/>
        <v>0.85</v>
      </c>
      <c r="J8" s="19" t="s">
        <v>40</v>
      </c>
      <c r="K8" s="18">
        <f t="shared" si="3"/>
        <v>0.62</v>
      </c>
      <c r="L8" s="19" t="s">
        <v>41</v>
      </c>
      <c r="M8" s="18">
        <f t="shared" si="4"/>
        <v>7.52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42</v>
      </c>
      <c r="S8" s="19">
        <f t="shared" si="7"/>
        <v>0</v>
      </c>
      <c r="T8" s="20">
        <f t="shared" si="8"/>
        <v>9.2803165536186878</v>
      </c>
      <c r="U8" s="21">
        <f t="shared" si="9"/>
        <v>0.80640000000000001</v>
      </c>
      <c r="V8" s="22">
        <f t="shared" si="10"/>
        <v>5.7576309677950803</v>
      </c>
      <c r="W8" s="22">
        <f t="shared" si="11"/>
        <v>2.8352547300000004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6">
      <c r="A9" s="17" t="s">
        <v>97</v>
      </c>
      <c r="B9" s="19" t="s">
        <v>73</v>
      </c>
      <c r="C9" s="27" t="s">
        <v>98</v>
      </c>
      <c r="D9" s="19" t="s">
        <v>66</v>
      </c>
      <c r="E9" s="18">
        <f t="shared" si="0"/>
        <v>0.55000000000000004</v>
      </c>
      <c r="F9" s="19" t="s">
        <v>47</v>
      </c>
      <c r="G9" s="18">
        <f t="shared" si="12"/>
        <v>0.77</v>
      </c>
      <c r="H9" s="19" t="s">
        <v>39</v>
      </c>
      <c r="I9" s="18">
        <f t="shared" si="2"/>
        <v>0.27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47</v>
      </c>
      <c r="O9" s="19">
        <f t="shared" si="5"/>
        <v>0.22</v>
      </c>
      <c r="P9" s="19" t="s">
        <v>39</v>
      </c>
      <c r="Q9" s="19">
        <f t="shared" si="6"/>
        <v>0.56000000000000005</v>
      </c>
      <c r="R9" s="19" t="s">
        <v>47</v>
      </c>
      <c r="S9" s="19">
        <f t="shared" si="7"/>
        <v>0.22</v>
      </c>
      <c r="T9" s="20">
        <f t="shared" si="8"/>
        <v>5.5003201950000005</v>
      </c>
      <c r="U9" s="21">
        <f t="shared" si="9"/>
        <v>0.73230400000000007</v>
      </c>
      <c r="V9" s="22">
        <f t="shared" si="10"/>
        <v>4.7013916800000004</v>
      </c>
      <c r="W9" s="22">
        <f t="shared" si="11"/>
        <v>0.79892851500000017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">
      <c r="A10" s="17" t="s">
        <v>77</v>
      </c>
      <c r="B10" s="17" t="s">
        <v>63</v>
      </c>
      <c r="C10" s="28" t="s">
        <v>78</v>
      </c>
      <c r="D10" s="17" t="s">
        <v>38</v>
      </c>
      <c r="E10" s="29">
        <f t="shared" si="0"/>
        <v>0.85</v>
      </c>
      <c r="F10" s="17" t="s">
        <v>47</v>
      </c>
      <c r="G10" s="29">
        <f t="shared" si="12"/>
        <v>0.77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39</v>
      </c>
      <c r="Q10" s="17">
        <f t="shared" si="6"/>
        <v>0.56000000000000005</v>
      </c>
      <c r="R10" s="17" t="s">
        <v>39</v>
      </c>
      <c r="S10" s="17">
        <f t="shared" si="7"/>
        <v>0.56000000000000005</v>
      </c>
      <c r="T10" s="20">
        <f t="shared" si="8"/>
        <v>8.9812090175880819</v>
      </c>
      <c r="U10" s="21">
        <f t="shared" si="9"/>
        <v>0.91481600000000007</v>
      </c>
      <c r="V10" s="22">
        <f t="shared" si="10"/>
        <v>6.0477304915445185</v>
      </c>
      <c r="W10" s="22">
        <f t="shared" si="11"/>
        <v>2.2682037840000002</v>
      </c>
      <c r="X10" s="29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 ht="18" customHeight="1">
      <c r="A11" s="17" t="s">
        <v>35</v>
      </c>
      <c r="B11" s="19" t="s">
        <v>36</v>
      </c>
      <c r="C11" s="27" t="s">
        <v>37</v>
      </c>
      <c r="D11" s="19" t="s">
        <v>38</v>
      </c>
      <c r="E11" s="18">
        <f t="shared" si="0"/>
        <v>0.85</v>
      </c>
      <c r="F11" s="19" t="s">
        <v>39</v>
      </c>
      <c r="G11" s="18">
        <f>IF(F11="High",0.44,IF(F11="Low",0.77,0))</f>
        <v>0.44</v>
      </c>
      <c r="H11" s="19" t="s">
        <v>39</v>
      </c>
      <c r="I11" s="18">
        <f t="shared" si="2"/>
        <v>0.5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7.2475103892186867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0.95302679999999995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6">
      <c r="A12" s="17" t="s">
        <v>54</v>
      </c>
      <c r="B12" s="19" t="s">
        <v>51</v>
      </c>
      <c r="C12" s="27" t="s">
        <v>52</v>
      </c>
      <c r="D12" s="19" t="s">
        <v>38</v>
      </c>
      <c r="E12" s="18">
        <f t="shared" si="0"/>
        <v>0.85</v>
      </c>
      <c r="F12" s="19" t="s">
        <v>39</v>
      </c>
      <c r="G12" s="18">
        <f t="shared" ref="G12:G14" si="13">IF(F12="Low",0.77,IF(F12="High",0.44,0))</f>
        <v>0.44</v>
      </c>
      <c r="H12" s="19" t="s">
        <v>47</v>
      </c>
      <c r="I12" s="18">
        <f t="shared" si="2"/>
        <v>0.68</v>
      </c>
      <c r="J12" s="19" t="s">
        <v>40</v>
      </c>
      <c r="K12" s="18">
        <f t="shared" si="3"/>
        <v>0.62</v>
      </c>
      <c r="L12" s="19" t="s">
        <v>41</v>
      </c>
      <c r="M12" s="18">
        <f t="shared" si="4"/>
        <v>7.52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7.6180472090586866</v>
      </c>
      <c r="U12" s="21">
        <f t="shared" si="9"/>
        <v>0.80640000000000001</v>
      </c>
      <c r="V12" s="22">
        <f t="shared" si="10"/>
        <v>5.7576309677950803</v>
      </c>
      <c r="W12" s="22">
        <f t="shared" si="11"/>
        <v>1.2961164479999998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">
      <c r="A13" s="17" t="s">
        <v>60</v>
      </c>
      <c r="B13" s="17" t="s">
        <v>36</v>
      </c>
      <c r="C13" s="82" t="s">
        <v>61</v>
      </c>
      <c r="D13" s="17" t="s">
        <v>38</v>
      </c>
      <c r="E13" s="29">
        <f t="shared" si="0"/>
        <v>0.85</v>
      </c>
      <c r="F13" s="17" t="s">
        <v>47</v>
      </c>
      <c r="G13" s="29">
        <f t="shared" si="13"/>
        <v>0.77</v>
      </c>
      <c r="H13" s="17" t="s">
        <v>47</v>
      </c>
      <c r="I13" s="29">
        <f t="shared" si="2"/>
        <v>0.68</v>
      </c>
      <c r="J13" s="17" t="s">
        <v>40</v>
      </c>
      <c r="K13" s="29">
        <f t="shared" si="3"/>
        <v>0.62</v>
      </c>
      <c r="L13" s="17" t="s">
        <v>41</v>
      </c>
      <c r="M13" s="29">
        <f t="shared" si="4"/>
        <v>7.52</v>
      </c>
      <c r="N13" s="17" t="s">
        <v>39</v>
      </c>
      <c r="O13" s="17">
        <f t="shared" si="5"/>
        <v>0.56000000000000005</v>
      </c>
      <c r="P13" s="17" t="s">
        <v>39</v>
      </c>
      <c r="Q13" s="17">
        <f t="shared" si="6"/>
        <v>0.56000000000000005</v>
      </c>
      <c r="R13" s="17" t="s">
        <v>42</v>
      </c>
      <c r="S13" s="17">
        <f t="shared" si="7"/>
        <v>0</v>
      </c>
      <c r="T13" s="20">
        <f t="shared" si="8"/>
        <v>8.6679015319386874</v>
      </c>
      <c r="U13" s="21">
        <f t="shared" si="9"/>
        <v>0.80640000000000001</v>
      </c>
      <c r="V13" s="22">
        <f t="shared" si="10"/>
        <v>5.7576309677950803</v>
      </c>
      <c r="W13" s="22">
        <f t="shared" si="11"/>
        <v>2.2682037840000002</v>
      </c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30"/>
    </row>
    <row r="14" spans="1:34" ht="15">
      <c r="A14" s="17" t="s">
        <v>62</v>
      </c>
      <c r="B14" s="17" t="s">
        <v>36</v>
      </c>
      <c r="C14" s="76"/>
      <c r="D14" s="17" t="s">
        <v>38</v>
      </c>
      <c r="E14" s="29">
        <f t="shared" si="0"/>
        <v>0.85</v>
      </c>
      <c r="F14" s="17" t="s">
        <v>47</v>
      </c>
      <c r="G14" s="29">
        <f t="shared" si="13"/>
        <v>0.77</v>
      </c>
      <c r="H14" s="17" t="s">
        <v>47</v>
      </c>
      <c r="I14" s="29">
        <f t="shared" si="2"/>
        <v>0.68</v>
      </c>
      <c r="J14" s="17" t="s">
        <v>40</v>
      </c>
      <c r="K14" s="29">
        <f t="shared" si="3"/>
        <v>0.62</v>
      </c>
      <c r="L14" s="17" t="s">
        <v>41</v>
      </c>
      <c r="M14" s="29">
        <f t="shared" si="4"/>
        <v>7.52</v>
      </c>
      <c r="N14" s="17" t="s">
        <v>39</v>
      </c>
      <c r="O14" s="17">
        <f t="shared" si="5"/>
        <v>0.56000000000000005</v>
      </c>
      <c r="P14" s="17" t="s">
        <v>39</v>
      </c>
      <c r="Q14" s="17">
        <f t="shared" si="6"/>
        <v>0.56000000000000005</v>
      </c>
      <c r="R14" s="17" t="s">
        <v>42</v>
      </c>
      <c r="S14" s="17">
        <f t="shared" si="7"/>
        <v>0</v>
      </c>
      <c r="T14" s="20">
        <f t="shared" si="8"/>
        <v>8.6679015319386874</v>
      </c>
      <c r="U14" s="21">
        <f t="shared" si="9"/>
        <v>0.80640000000000001</v>
      </c>
      <c r="V14" s="22">
        <f t="shared" si="10"/>
        <v>5.7576309677950803</v>
      </c>
      <c r="W14" s="22">
        <f t="shared" si="11"/>
        <v>2.2682037840000002</v>
      </c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30"/>
    </row>
    <row r="15" spans="1:34" ht="1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>
        <f>SUM(T5:T14)</f>
        <v>77.998366178361508</v>
      </c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 ht="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 ht="1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 ht="1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 ht="1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 ht="1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 ht="1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 ht="1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 ht="1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 ht="1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 ht="15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 ht="15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15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15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15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 ht="15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 ht="15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 ht="15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 ht="15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 ht="15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 ht="15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">
      <c r="T42" s="20"/>
      <c r="U42" s="21"/>
      <c r="V42" s="22"/>
      <c r="W42" s="22"/>
    </row>
    <row r="43" spans="1:34" ht="15">
      <c r="T43" s="20"/>
      <c r="U43" s="21"/>
      <c r="V43" s="22"/>
      <c r="W43" s="22"/>
    </row>
    <row r="44" spans="1:34" ht="15">
      <c r="T44" s="20"/>
      <c r="U44" s="21"/>
      <c r="V44" s="22"/>
      <c r="W44" s="22"/>
    </row>
    <row r="45" spans="1:34" ht="15">
      <c r="T45" s="20"/>
      <c r="U45" s="21"/>
      <c r="V45" s="22"/>
      <c r="W45" s="22"/>
    </row>
    <row r="46" spans="1:34" ht="15">
      <c r="T46" s="20"/>
      <c r="U46" s="21"/>
      <c r="V46" s="22"/>
      <c r="W46" s="22"/>
    </row>
    <row r="47" spans="1:34" ht="15">
      <c r="T47" s="20"/>
      <c r="U47" s="21"/>
      <c r="V47" s="22"/>
      <c r="W47" s="22"/>
    </row>
    <row r="48" spans="1:34" ht="15">
      <c r="T48" s="20"/>
      <c r="U48" s="21"/>
      <c r="V48" s="22"/>
      <c r="W48" s="22"/>
    </row>
    <row r="49" spans="20:23" ht="15">
      <c r="T49" s="20"/>
      <c r="U49" s="21"/>
      <c r="V49" s="22"/>
      <c r="W49" s="22"/>
    </row>
    <row r="50" spans="20:23" ht="15">
      <c r="T50" s="20"/>
      <c r="U50" s="21"/>
      <c r="V50" s="22"/>
      <c r="W50" s="22"/>
    </row>
    <row r="51" spans="20:23" ht="15">
      <c r="T51" s="20"/>
      <c r="U51" s="21"/>
      <c r="V51" s="22"/>
      <c r="W51" s="22"/>
    </row>
    <row r="52" spans="20:23" ht="15">
      <c r="T52" s="20"/>
      <c r="U52" s="21"/>
      <c r="V52" s="22"/>
      <c r="W52" s="22"/>
    </row>
    <row r="53" spans="20:23" ht="15">
      <c r="T53" s="20"/>
      <c r="U53" s="21"/>
      <c r="V53" s="22"/>
      <c r="W53" s="22"/>
    </row>
    <row r="54" spans="20:23" ht="15">
      <c r="T54" s="20"/>
      <c r="U54" s="21"/>
      <c r="V54" s="22"/>
      <c r="W54" s="22"/>
    </row>
    <row r="55" spans="20:23" ht="15">
      <c r="T55" s="20"/>
      <c r="U55" s="21"/>
      <c r="V55" s="22"/>
      <c r="W55" s="22"/>
    </row>
    <row r="56" spans="20:23" ht="15">
      <c r="T56" s="20"/>
      <c r="U56" s="21"/>
      <c r="V56" s="22"/>
      <c r="W56" s="22"/>
    </row>
    <row r="57" spans="20:23" ht="15">
      <c r="T57" s="20"/>
      <c r="U57" s="21"/>
      <c r="V57" s="22"/>
      <c r="W57" s="22"/>
    </row>
    <row r="58" spans="20:23" ht="15">
      <c r="T58" s="20"/>
      <c r="U58" s="21"/>
      <c r="V58" s="22"/>
      <c r="W58" s="22"/>
    </row>
    <row r="59" spans="20:23" ht="15">
      <c r="T59" s="20"/>
      <c r="U59" s="21"/>
      <c r="V59" s="22"/>
      <c r="W59" s="22"/>
    </row>
    <row r="60" spans="20:23" ht="15">
      <c r="T60" s="20"/>
      <c r="U60" s="21"/>
      <c r="V60" s="22"/>
      <c r="W60" s="22"/>
    </row>
    <row r="61" spans="20:23" ht="15">
      <c r="T61" s="20"/>
      <c r="U61" s="21"/>
      <c r="V61" s="22"/>
      <c r="W61" s="22"/>
    </row>
    <row r="62" spans="20:23" ht="15">
      <c r="T62" s="20"/>
      <c r="U62" s="21"/>
      <c r="V62" s="22"/>
      <c r="W62" s="22"/>
    </row>
    <row r="63" spans="20:23" ht="15">
      <c r="T63" s="20"/>
      <c r="U63" s="21"/>
      <c r="V63" s="22"/>
      <c r="W63" s="22"/>
    </row>
    <row r="64" spans="20:23" ht="15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13:C14"/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7" xr:uid="{00000000-0002-0000-12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4 P5:P14 R5:R14" xr:uid="{00000000-0002-0000-1200-000001000000}">
      <formula1>"High,Low,None"</formula1>
    </dataValidation>
    <dataValidation type="list" allowBlank="1" showErrorMessage="1" sqref="B5:B14" xr:uid="{00000000-0002-0000-1200-000002000000}">
      <formula1>"Spoofing ,Tampering,Repudiation,Information Disclosure,Denial of Service,Elevation of Privilage"</formula1>
    </dataValidation>
    <dataValidation type="list" allowBlank="1" showErrorMessage="1" sqref="L5:L14" xr:uid="{00000000-0002-0000-1200-000003000000}">
      <formula1>"Unchanged,Changed"</formula1>
    </dataValidation>
    <dataValidation type="list" allowBlank="1" showErrorMessage="1" sqref="F5:F14" xr:uid="{00000000-0002-0000-1200-000004000000}">
      <formula1>"Low,High"</formula1>
    </dataValidation>
    <dataValidation type="list" allowBlank="1" showErrorMessage="1" sqref="D5:D14" xr:uid="{00000000-0002-0000-1200-000005000000}">
      <formula1>"Network,Adjacent Network,Local,Physical"</formula1>
    </dataValidation>
    <dataValidation type="list" allowBlank="1" showErrorMessage="1" sqref="A5:A6 A8:A9" xr:uid="{00000000-0002-0000-12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4" xr:uid="{00000000-0002-0000-1200-000007000000}">
      <formula1>"None,Required"</formula1>
    </dataValidation>
    <dataValidation type="list" allowBlank="1" showErrorMessage="1" sqref="H5:H14" xr:uid="{00000000-0002-0000-1200-000008000000}">
      <formula1>"None,Low,High"</formula1>
    </dataValidation>
    <dataValidation type="list" allowBlank="1" showErrorMessage="1" sqref="A10:A14" xr:uid="{00000000-0002-0000-12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10" si="0">IF(D5="Network",0.85,IF(D5="Adjacent Network",0.62,IF(D5="Local",0.55,IF(D5="Physical",0.2,0))))</f>
        <v>0.85</v>
      </c>
      <c r="F5" s="17" t="s">
        <v>39</v>
      </c>
      <c r="G5" s="29">
        <f>IF(F5="High",0.44,IF(F5="Low",0.77,0))</f>
        <v>0.44</v>
      </c>
      <c r="H5" s="17" t="s">
        <v>42</v>
      </c>
      <c r="I5" s="29">
        <f t="shared" ref="I5:I10" si="1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10" si="2">IF(J5="Required",0.62,IF(J5="None",0.85,0))</f>
        <v>0.62</v>
      </c>
      <c r="L5" s="17" t="s">
        <v>59</v>
      </c>
      <c r="M5" s="29">
        <f t="shared" ref="M5:M10" si="3">IF(L5="Changed",7.52,IF(L5="Unchanged",6.42,0))</f>
        <v>6.42</v>
      </c>
      <c r="N5" s="17" t="s">
        <v>42</v>
      </c>
      <c r="O5" s="17">
        <f t="shared" ref="O5:O10" si="4">IF(N5="High",0.56,IF(N5="Low",0.22,IF(N5="None",0,0)))</f>
        <v>0</v>
      </c>
      <c r="P5" s="17" t="s">
        <v>42</v>
      </c>
      <c r="Q5" s="17">
        <f t="shared" ref="Q5:Q10" si="5">IF(P5="High",0.56,IF(P5="Low",0.22,IF(P5="None",0,0)))</f>
        <v>0</v>
      </c>
      <c r="R5" s="17" t="s">
        <v>39</v>
      </c>
      <c r="S5" s="17">
        <f t="shared" ref="S5:S10" si="6">IF(R5="High",0.56,IF(R5="Low",0.22,IF(R5="None",0,0)))</f>
        <v>0.56000000000000005</v>
      </c>
      <c r="T5" s="20">
        <f t="shared" ref="T5:T10" si="7">IF(V5&lt;=0,0,IF(L5="Unchanged",MIN(W5+V5,10),MIN((W5+V5)*1.08,10)))</f>
        <v>5.2153455600000003</v>
      </c>
      <c r="U5" s="21">
        <f t="shared" ref="U5:U10" si="8">(1-((1-O5)*(1-Q5)*(1-S5)))</f>
        <v>0.56000000000000005</v>
      </c>
      <c r="V5" s="22">
        <f t="shared" ref="V5:V10" si="9">IF(L5="Unchanged",M5*U5,M5*(U5-0.029)-3.25*POWER(U5-0.02,15))</f>
        <v>3.5952000000000002</v>
      </c>
      <c r="W5" s="22">
        <f t="shared" ref="W5:W10" si="10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>
      <c r="A6" s="17" t="s">
        <v>85</v>
      </c>
      <c r="B6" s="19" t="s">
        <v>51</v>
      </c>
      <c r="C6" s="18" t="s">
        <v>130</v>
      </c>
      <c r="D6" s="19" t="s">
        <v>38</v>
      </c>
      <c r="E6" s="18">
        <f t="shared" si="0"/>
        <v>0.85</v>
      </c>
      <c r="F6" s="19" t="s">
        <v>47</v>
      </c>
      <c r="G6" s="18">
        <f>IF(F6="Low",0.77,IF(F6="High",0.44,0))</f>
        <v>0.77</v>
      </c>
      <c r="H6" s="19" t="s">
        <v>39</v>
      </c>
      <c r="I6" s="18">
        <f t="shared" si="1"/>
        <v>0.27</v>
      </c>
      <c r="J6" s="19" t="s">
        <v>42</v>
      </c>
      <c r="K6" s="18">
        <f t="shared" si="2"/>
        <v>0.85</v>
      </c>
      <c r="L6" s="19" t="s">
        <v>59</v>
      </c>
      <c r="M6" s="18">
        <f t="shared" si="3"/>
        <v>6.42</v>
      </c>
      <c r="N6" s="19" t="s">
        <v>39</v>
      </c>
      <c r="O6" s="19">
        <f t="shared" si="4"/>
        <v>0.56000000000000005</v>
      </c>
      <c r="P6" s="19" t="s">
        <v>42</v>
      </c>
      <c r="Q6" s="19">
        <f t="shared" si="5"/>
        <v>0</v>
      </c>
      <c r="R6" s="19" t="s">
        <v>42</v>
      </c>
      <c r="S6" s="19">
        <f t="shared" si="6"/>
        <v>0</v>
      </c>
      <c r="T6" s="20">
        <f t="shared" si="7"/>
        <v>4.8299077050000001</v>
      </c>
      <c r="U6" s="21">
        <f t="shared" si="8"/>
        <v>0.56000000000000005</v>
      </c>
      <c r="V6" s="22">
        <f t="shared" si="9"/>
        <v>3.5952000000000002</v>
      </c>
      <c r="W6" s="22">
        <f t="shared" si="10"/>
        <v>1.2347077050000002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56</v>
      </c>
      <c r="B7" s="17" t="s">
        <v>57</v>
      </c>
      <c r="C7" s="28" t="s">
        <v>131</v>
      </c>
      <c r="D7" s="17" t="s">
        <v>38</v>
      </c>
      <c r="E7" s="29">
        <f t="shared" si="0"/>
        <v>0.85</v>
      </c>
      <c r="F7" s="17" t="s">
        <v>39</v>
      </c>
      <c r="G7" s="29">
        <f>IF(F7="High",0.44,IF(F7="Low",0.77,0))</f>
        <v>0.44</v>
      </c>
      <c r="H7" s="17" t="s">
        <v>47</v>
      </c>
      <c r="I7" s="29">
        <f t="shared" si="1"/>
        <v>0.62</v>
      </c>
      <c r="J7" s="17" t="s">
        <v>40</v>
      </c>
      <c r="K7" s="29">
        <f t="shared" si="2"/>
        <v>0.62</v>
      </c>
      <c r="L7" s="17" t="s">
        <v>59</v>
      </c>
      <c r="M7" s="29">
        <f t="shared" si="3"/>
        <v>6.42</v>
      </c>
      <c r="N7" s="17" t="s">
        <v>42</v>
      </c>
      <c r="O7" s="17">
        <f t="shared" si="4"/>
        <v>0</v>
      </c>
      <c r="P7" s="17" t="s">
        <v>42</v>
      </c>
      <c r="Q7" s="17">
        <f t="shared" si="5"/>
        <v>0</v>
      </c>
      <c r="R7" s="17" t="s">
        <v>39</v>
      </c>
      <c r="S7" s="17">
        <f t="shared" si="6"/>
        <v>0.56000000000000005</v>
      </c>
      <c r="T7" s="20">
        <f t="shared" si="7"/>
        <v>4.7769532320000003</v>
      </c>
      <c r="U7" s="21">
        <f t="shared" si="8"/>
        <v>0.56000000000000005</v>
      </c>
      <c r="V7" s="22">
        <f t="shared" si="9"/>
        <v>3.5952000000000002</v>
      </c>
      <c r="W7" s="22">
        <f t="shared" si="10"/>
        <v>1.1817532319999999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48</v>
      </c>
      <c r="B8" s="19" t="s">
        <v>44</v>
      </c>
      <c r="C8" s="19" t="s">
        <v>49</v>
      </c>
      <c r="D8" s="19" t="s">
        <v>46</v>
      </c>
      <c r="E8" s="18">
        <f t="shared" si="0"/>
        <v>0.62</v>
      </c>
      <c r="F8" s="19" t="s">
        <v>39</v>
      </c>
      <c r="G8" s="18">
        <f t="shared" ref="G8:G10" si="11">IF(F8="Low",0.77,IF(F8="High",0.44,0))</f>
        <v>0.44</v>
      </c>
      <c r="H8" s="19" t="s">
        <v>47</v>
      </c>
      <c r="I8" s="18">
        <f t="shared" si="1"/>
        <v>0.68</v>
      </c>
      <c r="J8" s="19" t="s">
        <v>40</v>
      </c>
      <c r="K8" s="18">
        <f t="shared" si="2"/>
        <v>0.62</v>
      </c>
      <c r="L8" s="19" t="s">
        <v>41</v>
      </c>
      <c r="M8" s="18">
        <f t="shared" si="3"/>
        <v>7.52</v>
      </c>
      <c r="N8" s="19" t="s">
        <v>39</v>
      </c>
      <c r="O8" s="19">
        <f t="shared" si="4"/>
        <v>0.56000000000000005</v>
      </c>
      <c r="P8" s="19" t="s">
        <v>39</v>
      </c>
      <c r="Q8" s="19">
        <f t="shared" si="5"/>
        <v>0.56000000000000005</v>
      </c>
      <c r="R8" s="19" t="s">
        <v>39</v>
      </c>
      <c r="S8" s="19">
        <f t="shared" si="6"/>
        <v>0.56000000000000005</v>
      </c>
      <c r="T8" s="20">
        <f t="shared" si="7"/>
        <v>7.5525837233160802</v>
      </c>
      <c r="U8" s="21">
        <f t="shared" si="8"/>
        <v>0.91481600000000007</v>
      </c>
      <c r="V8" s="22">
        <f t="shared" si="9"/>
        <v>6.0477304915445185</v>
      </c>
      <c r="W8" s="22">
        <f t="shared" si="10"/>
        <v>0.94540258560000001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85</v>
      </c>
      <c r="B9" s="19" t="s">
        <v>44</v>
      </c>
      <c r="C9" s="19" t="s">
        <v>88</v>
      </c>
      <c r="D9" s="19" t="s">
        <v>38</v>
      </c>
      <c r="E9" s="18">
        <f t="shared" si="0"/>
        <v>0.85</v>
      </c>
      <c r="F9" s="19" t="s">
        <v>47</v>
      </c>
      <c r="G9" s="18">
        <f t="shared" si="11"/>
        <v>0.77</v>
      </c>
      <c r="H9" s="19" t="s">
        <v>42</v>
      </c>
      <c r="I9" s="18">
        <f t="shared" si="1"/>
        <v>0.85</v>
      </c>
      <c r="J9" s="19" t="s">
        <v>42</v>
      </c>
      <c r="K9" s="18">
        <f t="shared" si="2"/>
        <v>0.85</v>
      </c>
      <c r="L9" s="19" t="s">
        <v>59</v>
      </c>
      <c r="M9" s="18">
        <f t="shared" si="3"/>
        <v>6.42</v>
      </c>
      <c r="N9" s="19" t="s">
        <v>39</v>
      </c>
      <c r="O9" s="19">
        <f t="shared" si="4"/>
        <v>0.56000000000000005</v>
      </c>
      <c r="P9" s="19" t="s">
        <v>39</v>
      </c>
      <c r="Q9" s="19">
        <f t="shared" si="5"/>
        <v>0.56000000000000005</v>
      </c>
      <c r="R9" s="19" t="s">
        <v>39</v>
      </c>
      <c r="S9" s="19">
        <f t="shared" si="6"/>
        <v>0.56000000000000005</v>
      </c>
      <c r="T9" s="20">
        <f t="shared" si="7"/>
        <v>9.760161495000002</v>
      </c>
      <c r="U9" s="21">
        <f t="shared" si="8"/>
        <v>0.91481600000000007</v>
      </c>
      <c r="V9" s="22">
        <f t="shared" si="9"/>
        <v>5.8731187200000008</v>
      </c>
      <c r="W9" s="22">
        <f t="shared" si="10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85</v>
      </c>
      <c r="B10" s="19" t="s">
        <v>51</v>
      </c>
      <c r="C10" s="18" t="s">
        <v>132</v>
      </c>
      <c r="D10" s="19" t="s">
        <v>38</v>
      </c>
      <c r="E10" s="18">
        <f t="shared" si="0"/>
        <v>0.85</v>
      </c>
      <c r="F10" s="19" t="s">
        <v>47</v>
      </c>
      <c r="G10" s="18">
        <f t="shared" si="11"/>
        <v>0.77</v>
      </c>
      <c r="H10" s="19" t="s">
        <v>39</v>
      </c>
      <c r="I10" s="18">
        <f t="shared" si="1"/>
        <v>0.27</v>
      </c>
      <c r="J10" s="19" t="s">
        <v>42</v>
      </c>
      <c r="K10" s="18">
        <f t="shared" si="2"/>
        <v>0.85</v>
      </c>
      <c r="L10" s="19" t="s">
        <v>59</v>
      </c>
      <c r="M10" s="18">
        <f t="shared" si="3"/>
        <v>6.42</v>
      </c>
      <c r="N10" s="19" t="s">
        <v>39</v>
      </c>
      <c r="O10" s="19">
        <f t="shared" si="4"/>
        <v>0.56000000000000005</v>
      </c>
      <c r="P10" s="19" t="s">
        <v>42</v>
      </c>
      <c r="Q10" s="19">
        <f t="shared" si="5"/>
        <v>0</v>
      </c>
      <c r="R10" s="19" t="s">
        <v>42</v>
      </c>
      <c r="S10" s="19">
        <f t="shared" si="6"/>
        <v>0</v>
      </c>
      <c r="T10" s="20">
        <f t="shared" si="7"/>
        <v>4.8299077050000001</v>
      </c>
      <c r="U10" s="21">
        <f t="shared" si="8"/>
        <v>0.56000000000000005</v>
      </c>
      <c r="V10" s="22">
        <f t="shared" si="9"/>
        <v>3.5952000000000002</v>
      </c>
      <c r="W10" s="22">
        <f t="shared" si="10"/>
        <v>1.2347077050000002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>
        <f>SUM(T5:T10)</f>
        <v>36.964859420316074</v>
      </c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0 P5:P10 R5:R10" xr:uid="{00000000-0002-0000-1300-000000000000}">
      <formula1>"High,Low,None"</formula1>
    </dataValidation>
    <dataValidation type="list" allowBlank="1" showErrorMessage="1" sqref="B5:B10" xr:uid="{00000000-0002-0000-1300-000001000000}">
      <formula1>"Spoofing ,Tampering,Repudiation,Information Disclosure,Denial of Service,Elevation of Privilage"</formula1>
    </dataValidation>
    <dataValidation type="list" allowBlank="1" showErrorMessage="1" sqref="L5:L10" xr:uid="{00000000-0002-0000-1300-000002000000}">
      <formula1>"Unchanged,Changed"</formula1>
    </dataValidation>
    <dataValidation type="list" allowBlank="1" showErrorMessage="1" sqref="F5:F10" xr:uid="{00000000-0002-0000-1300-000003000000}">
      <formula1>"Low,High"</formula1>
    </dataValidation>
    <dataValidation type="list" allowBlank="1" showErrorMessage="1" sqref="D5:D10" xr:uid="{00000000-0002-0000-1300-000004000000}">
      <formula1>"Network,Adjacent Network,Local,Physical"</formula1>
    </dataValidation>
    <dataValidation type="list" allowBlank="1" showErrorMessage="1" sqref="A6 A9:A10" xr:uid="{00000000-0002-0000-13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0" xr:uid="{00000000-0002-0000-1300-000006000000}">
      <formula1>"None,Required"</formula1>
    </dataValidation>
    <dataValidation type="list" allowBlank="1" showErrorMessage="1" sqref="A5 A7:A8" xr:uid="{00000000-0002-0000-13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0" xr:uid="{00000000-0002-0000-1300-000008000000}">
      <formula1>"None,Low,High"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H970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47" t="s">
        <v>0</v>
      </c>
      <c r="B1" s="85" t="s">
        <v>1</v>
      </c>
      <c r="C1" s="74"/>
      <c r="D1" s="86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48"/>
      <c r="Y1" s="2"/>
      <c r="Z1" s="2"/>
      <c r="AA1" s="2"/>
      <c r="AB1" s="2"/>
      <c r="AC1" s="2"/>
      <c r="AD1" s="2"/>
      <c r="AE1" s="2"/>
      <c r="AF1" s="3"/>
    </row>
    <row r="2" spans="1:34">
      <c r="A2" s="49" t="s">
        <v>3</v>
      </c>
      <c r="B2" s="87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48"/>
      <c r="Y2" s="2"/>
      <c r="Z2" s="2"/>
      <c r="AA2" s="2"/>
      <c r="AB2" s="2"/>
      <c r="AC2" s="2"/>
      <c r="AD2" s="2"/>
      <c r="AE2" s="2"/>
      <c r="AF2" s="3"/>
    </row>
    <row r="3" spans="1:34">
      <c r="A3" s="50" t="s">
        <v>5</v>
      </c>
      <c r="B3" s="51" t="s">
        <v>6</v>
      </c>
      <c r="C3" s="51" t="s">
        <v>7</v>
      </c>
      <c r="D3" s="88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9" t="s">
        <v>9</v>
      </c>
      <c r="O3" s="76"/>
      <c r="P3" s="76"/>
      <c r="Q3" s="76"/>
      <c r="R3" s="76"/>
      <c r="S3" s="76"/>
      <c r="T3" s="90" t="s">
        <v>10</v>
      </c>
      <c r="U3" s="76"/>
      <c r="V3" s="76"/>
      <c r="W3" s="76"/>
      <c r="X3" s="48"/>
      <c r="Y3" s="2"/>
      <c r="Z3" s="2"/>
      <c r="AA3" s="2"/>
      <c r="AB3" s="2"/>
      <c r="AC3" s="2"/>
      <c r="AD3" s="2"/>
      <c r="AE3" s="2"/>
      <c r="AF3" s="3"/>
    </row>
    <row r="4" spans="1:34">
      <c r="A4" s="52" t="s">
        <v>11</v>
      </c>
      <c r="B4" s="53" t="s">
        <v>12</v>
      </c>
      <c r="C4" s="53" t="s">
        <v>13</v>
      </c>
      <c r="D4" s="54" t="s">
        <v>14</v>
      </c>
      <c r="E4" s="54" t="s">
        <v>15</v>
      </c>
      <c r="F4" s="55" t="s">
        <v>16</v>
      </c>
      <c r="G4" s="54" t="s">
        <v>17</v>
      </c>
      <c r="H4" s="55" t="s">
        <v>18</v>
      </c>
      <c r="I4" s="54" t="s">
        <v>19</v>
      </c>
      <c r="J4" s="55" t="s">
        <v>20</v>
      </c>
      <c r="K4" s="54" t="s">
        <v>21</v>
      </c>
      <c r="L4" s="55" t="s">
        <v>22</v>
      </c>
      <c r="M4" s="56" t="s">
        <v>23</v>
      </c>
      <c r="N4" s="57" t="s">
        <v>24</v>
      </c>
      <c r="O4" s="57" t="s">
        <v>25</v>
      </c>
      <c r="P4" s="57" t="s">
        <v>26</v>
      </c>
      <c r="Q4" s="57" t="s">
        <v>27</v>
      </c>
      <c r="R4" s="57" t="s">
        <v>28</v>
      </c>
      <c r="S4" s="57" t="s">
        <v>29</v>
      </c>
      <c r="T4" s="58" t="s">
        <v>30</v>
      </c>
      <c r="U4" s="58" t="s">
        <v>31</v>
      </c>
      <c r="V4" s="59" t="s">
        <v>32</v>
      </c>
      <c r="W4" s="59" t="s">
        <v>33</v>
      </c>
      <c r="X4" s="48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133</v>
      </c>
      <c r="B5" s="17" t="s">
        <v>36</v>
      </c>
      <c r="C5" s="28" t="s">
        <v>134</v>
      </c>
      <c r="D5" s="17" t="s">
        <v>38</v>
      </c>
      <c r="E5" s="29">
        <f t="shared" ref="E5:E11" si="0">IF(D5="Network",0.85,IF(D5="Adjacent Network",0.62,IF(D5="Local",0.55,IF(D5="Physical",0.2,0))))</f>
        <v>0.85</v>
      </c>
      <c r="F5" s="17" t="s">
        <v>39</v>
      </c>
      <c r="G5" s="29">
        <f t="shared" ref="G5:G6" si="1">IF(F5="High",0.44,IF(F5="Low",0.77,0))</f>
        <v>0.44</v>
      </c>
      <c r="H5" s="17" t="s">
        <v>39</v>
      </c>
      <c r="I5" s="29">
        <f t="shared" ref="I5:I11" si="2">IF(H5="None",0.85,IF(AND(H5="Low",L5="Unchanged"),0.62,IF(AND(H5="Low",L5="Changed"),0.68,IF(AND(H5="High",L5="Changed"),0.5,IF(AND(H5="High",L5="Unchanged"),0.27,0)))))</f>
        <v>0.5</v>
      </c>
      <c r="J5" s="17" t="s">
        <v>40</v>
      </c>
      <c r="K5" s="29">
        <f t="shared" ref="K5:K11" si="3">IF(J5="Required",0.62,IF(J5="None",0.85,0))</f>
        <v>0.62</v>
      </c>
      <c r="L5" s="17" t="s">
        <v>41</v>
      </c>
      <c r="M5" s="29">
        <f t="shared" ref="M5:M11" si="4">IF(L5="Changed",7.52,IF(L5="Unchanged",6.42,0))</f>
        <v>7.52</v>
      </c>
      <c r="N5" s="17" t="s">
        <v>39</v>
      </c>
      <c r="O5" s="17">
        <f t="shared" ref="O5:O11" si="5">IF(N5="High",0.56,IF(N5="Low",0.22,IF(N5="None",0,0)))</f>
        <v>0.56000000000000005</v>
      </c>
      <c r="P5" s="17" t="s">
        <v>39</v>
      </c>
      <c r="Q5" s="17">
        <f t="shared" ref="Q5:Q11" si="6">IF(P5="High",0.56,IF(P5="Low",0.22,IF(P5="None",0,0)))</f>
        <v>0.56000000000000005</v>
      </c>
      <c r="R5" s="17" t="s">
        <v>42</v>
      </c>
      <c r="S5" s="17">
        <f t="shared" ref="S5:S11" si="7">IF(R5="High",0.56,IF(R5="Low",0.22,IF(R5="None",0,0)))</f>
        <v>0</v>
      </c>
      <c r="T5" s="20">
        <f t="shared" ref="T5:T11" si="8">IF(V5&lt;=0,0,IF(L5="Unchanged",MIN(W5+V5,10),MIN((W5+V5)*1.08,10)))</f>
        <v>7.2475103892186867</v>
      </c>
      <c r="U5" s="21">
        <f t="shared" ref="U5:U11" si="9">(1-((1-O5)*(1-Q5)*(1-S5)))</f>
        <v>0.80640000000000001</v>
      </c>
      <c r="V5" s="22">
        <f t="shared" ref="V5:V11" si="10">IF(L5="Unchanged",M5*U5,M5*(U5-0.029)-3.25*POWER(U5-0.02,15))</f>
        <v>5.7576309677950803</v>
      </c>
      <c r="W5" s="22">
        <f t="shared" ref="W5:W11" si="11">8.22*E5*G5*I5*K5</f>
        <v>0.95302679999999995</v>
      </c>
      <c r="X5" s="29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135</v>
      </c>
      <c r="B6" s="17" t="s">
        <v>36</v>
      </c>
      <c r="C6" s="60" t="s">
        <v>134</v>
      </c>
      <c r="D6" s="17" t="s">
        <v>38</v>
      </c>
      <c r="E6" s="29">
        <f t="shared" si="0"/>
        <v>0.85</v>
      </c>
      <c r="F6" s="17" t="s">
        <v>39</v>
      </c>
      <c r="G6" s="29">
        <f t="shared" si="1"/>
        <v>0.44</v>
      </c>
      <c r="H6" s="17" t="s">
        <v>39</v>
      </c>
      <c r="I6" s="29">
        <f t="shared" si="2"/>
        <v>0.5</v>
      </c>
      <c r="J6" s="17" t="s">
        <v>40</v>
      </c>
      <c r="K6" s="29">
        <f t="shared" si="3"/>
        <v>0.62</v>
      </c>
      <c r="L6" s="17" t="s">
        <v>41</v>
      </c>
      <c r="M6" s="29">
        <f t="shared" si="4"/>
        <v>7.52</v>
      </c>
      <c r="N6" s="17" t="s">
        <v>39</v>
      </c>
      <c r="O6" s="17">
        <f t="shared" si="5"/>
        <v>0.56000000000000005</v>
      </c>
      <c r="P6" s="17" t="s">
        <v>39</v>
      </c>
      <c r="Q6" s="17">
        <f t="shared" si="6"/>
        <v>0.56000000000000005</v>
      </c>
      <c r="R6" s="17" t="s">
        <v>42</v>
      </c>
      <c r="S6" s="17">
        <f t="shared" si="7"/>
        <v>0</v>
      </c>
      <c r="T6" s="20">
        <f t="shared" si="8"/>
        <v>7.2475103892186867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0.95302679999999995</v>
      </c>
      <c r="X6" s="29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43</v>
      </c>
      <c r="B7" s="17" t="s">
        <v>63</v>
      </c>
      <c r="C7" s="17" t="s">
        <v>64</v>
      </c>
      <c r="D7" s="17" t="s">
        <v>38</v>
      </c>
      <c r="E7" s="29">
        <f t="shared" si="0"/>
        <v>0.85</v>
      </c>
      <c r="F7" s="17" t="s">
        <v>39</v>
      </c>
      <c r="G7" s="29">
        <f t="shared" ref="G7:G11" si="12">IF(F7="Low",0.77,IF(F7="High",0.44,0))</f>
        <v>0.44</v>
      </c>
      <c r="H7" s="17" t="s">
        <v>47</v>
      </c>
      <c r="I7" s="29">
        <f t="shared" si="2"/>
        <v>0.68</v>
      </c>
      <c r="J7" s="17" t="s">
        <v>40</v>
      </c>
      <c r="K7" s="29">
        <f t="shared" si="3"/>
        <v>0.62</v>
      </c>
      <c r="L7" s="17" t="s">
        <v>41</v>
      </c>
      <c r="M7" s="29">
        <f t="shared" si="4"/>
        <v>7.52</v>
      </c>
      <c r="N7" s="17" t="s">
        <v>39</v>
      </c>
      <c r="O7" s="17">
        <f t="shared" si="5"/>
        <v>0.56000000000000005</v>
      </c>
      <c r="P7" s="17" t="s">
        <v>42</v>
      </c>
      <c r="Q7" s="17">
        <f t="shared" si="6"/>
        <v>0</v>
      </c>
      <c r="R7" s="17" t="s">
        <v>42</v>
      </c>
      <c r="S7" s="17">
        <f t="shared" si="7"/>
        <v>0</v>
      </c>
      <c r="T7" s="20">
        <f t="shared" si="8"/>
        <v>5.7120355715551225</v>
      </c>
      <c r="U7" s="21">
        <f t="shared" si="9"/>
        <v>0.56000000000000005</v>
      </c>
      <c r="V7" s="22">
        <f t="shared" si="10"/>
        <v>3.9928053775140029</v>
      </c>
      <c r="W7" s="22">
        <f t="shared" si="11"/>
        <v>1.2961164479999998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43</v>
      </c>
      <c r="B8" s="17" t="s">
        <v>73</v>
      </c>
      <c r="C8" s="28" t="s">
        <v>74</v>
      </c>
      <c r="D8" s="17" t="s">
        <v>38</v>
      </c>
      <c r="E8" s="29">
        <f t="shared" si="0"/>
        <v>0.85</v>
      </c>
      <c r="F8" s="17" t="s">
        <v>39</v>
      </c>
      <c r="G8" s="29">
        <f t="shared" si="12"/>
        <v>0.44</v>
      </c>
      <c r="H8" s="17" t="s">
        <v>42</v>
      </c>
      <c r="I8" s="29">
        <f t="shared" si="2"/>
        <v>0.85</v>
      </c>
      <c r="J8" s="17" t="s">
        <v>42</v>
      </c>
      <c r="K8" s="29">
        <f t="shared" si="3"/>
        <v>0.85</v>
      </c>
      <c r="L8" s="17" t="s">
        <v>59</v>
      </c>
      <c r="M8" s="29">
        <f t="shared" si="4"/>
        <v>6.42</v>
      </c>
      <c r="N8" s="17" t="s">
        <v>39</v>
      </c>
      <c r="O8" s="17">
        <f t="shared" si="5"/>
        <v>0.56000000000000005</v>
      </c>
      <c r="P8" s="17" t="s">
        <v>42</v>
      </c>
      <c r="Q8" s="17">
        <f t="shared" si="6"/>
        <v>0</v>
      </c>
      <c r="R8" s="17" t="s">
        <v>42</v>
      </c>
      <c r="S8" s="17">
        <f t="shared" si="7"/>
        <v>0</v>
      </c>
      <c r="T8" s="20">
        <f t="shared" si="8"/>
        <v>5.8163672999999996</v>
      </c>
      <c r="U8" s="21">
        <f t="shared" si="9"/>
        <v>0.56000000000000005</v>
      </c>
      <c r="V8" s="22">
        <f t="shared" si="10"/>
        <v>3.5952000000000002</v>
      </c>
      <c r="W8" s="22">
        <f t="shared" si="11"/>
        <v>2.2211672999999998</v>
      </c>
      <c r="X8" s="29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85</v>
      </c>
      <c r="B9" s="17" t="s">
        <v>44</v>
      </c>
      <c r="C9" s="28" t="s">
        <v>136</v>
      </c>
      <c r="D9" s="17" t="s">
        <v>66</v>
      </c>
      <c r="E9" s="29">
        <f t="shared" si="0"/>
        <v>0.55000000000000004</v>
      </c>
      <c r="F9" s="17" t="s">
        <v>47</v>
      </c>
      <c r="G9" s="29">
        <f t="shared" si="12"/>
        <v>0.77</v>
      </c>
      <c r="H9" s="17" t="s">
        <v>42</v>
      </c>
      <c r="I9" s="29">
        <f t="shared" si="2"/>
        <v>0.85</v>
      </c>
      <c r="J9" s="17" t="s">
        <v>40</v>
      </c>
      <c r="K9" s="29">
        <f t="shared" si="3"/>
        <v>0.62</v>
      </c>
      <c r="L9" s="17" t="s">
        <v>41</v>
      </c>
      <c r="M9" s="29">
        <f t="shared" si="4"/>
        <v>7.52</v>
      </c>
      <c r="N9" s="17" t="s">
        <v>39</v>
      </c>
      <c r="O9" s="17">
        <f t="shared" si="5"/>
        <v>0.56000000000000005</v>
      </c>
      <c r="P9" s="17" t="s">
        <v>39</v>
      </c>
      <c r="Q9" s="17">
        <f t="shared" si="6"/>
        <v>0.56000000000000005</v>
      </c>
      <c r="R9" s="17" t="s">
        <v>39</v>
      </c>
      <c r="S9" s="17">
        <f t="shared" si="7"/>
        <v>0.56000000000000005</v>
      </c>
      <c r="T9" s="20">
        <f t="shared" si="8"/>
        <v>8.5128916480680807</v>
      </c>
      <c r="U9" s="21">
        <f t="shared" si="9"/>
        <v>0.91481600000000007</v>
      </c>
      <c r="V9" s="22">
        <f t="shared" si="10"/>
        <v>6.0477304915445185</v>
      </c>
      <c r="W9" s="22">
        <f t="shared" si="11"/>
        <v>1.8345765900000002</v>
      </c>
      <c r="X9" s="29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77</v>
      </c>
      <c r="B10" s="17" t="s">
        <v>63</v>
      </c>
      <c r="C10" s="28" t="s">
        <v>78</v>
      </c>
      <c r="D10" s="17" t="s">
        <v>38</v>
      </c>
      <c r="E10" s="29">
        <f t="shared" si="0"/>
        <v>0.85</v>
      </c>
      <c r="F10" s="17" t="s">
        <v>47</v>
      </c>
      <c r="G10" s="29">
        <f t="shared" si="12"/>
        <v>0.77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39</v>
      </c>
      <c r="Q10" s="17">
        <f t="shared" si="6"/>
        <v>0.56000000000000005</v>
      </c>
      <c r="R10" s="17" t="s">
        <v>39</v>
      </c>
      <c r="S10" s="17">
        <f t="shared" si="7"/>
        <v>0.56000000000000005</v>
      </c>
      <c r="T10" s="20">
        <f t="shared" si="8"/>
        <v>8.9812090175880819</v>
      </c>
      <c r="U10" s="21">
        <f t="shared" si="9"/>
        <v>0.91481600000000007</v>
      </c>
      <c r="V10" s="22">
        <f t="shared" si="10"/>
        <v>6.0477304915445185</v>
      </c>
      <c r="W10" s="22">
        <f t="shared" si="11"/>
        <v>2.2682037840000002</v>
      </c>
      <c r="X10" s="29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43</v>
      </c>
      <c r="B11" s="19" t="s">
        <v>44</v>
      </c>
      <c r="C11" s="19" t="s">
        <v>45</v>
      </c>
      <c r="D11" s="19" t="s">
        <v>46</v>
      </c>
      <c r="E11" s="18">
        <f t="shared" si="0"/>
        <v>0.62</v>
      </c>
      <c r="F11" s="19" t="s">
        <v>39</v>
      </c>
      <c r="G11" s="18">
        <f t="shared" si="12"/>
        <v>0.44</v>
      </c>
      <c r="H11" s="19" t="s">
        <v>47</v>
      </c>
      <c r="I11" s="18">
        <f t="shared" si="2"/>
        <v>0.68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7.2392762376666875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0.94540258560000001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61">
        <f>SUM(T5:T11)</f>
        <v>50.756800553315344</v>
      </c>
      <c r="U12" s="17"/>
      <c r="V12" s="17"/>
      <c r="W12" s="17"/>
      <c r="X12" s="17"/>
      <c r="Y12" s="17"/>
      <c r="Z12" s="17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137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 t="s">
        <v>48</v>
      </c>
      <c r="B14" s="17" t="s">
        <v>51</v>
      </c>
      <c r="C14" s="28" t="s">
        <v>138</v>
      </c>
      <c r="D14" s="17" t="s">
        <v>38</v>
      </c>
      <c r="E14" s="29">
        <f t="shared" ref="E14:E15" si="13">IF(D14="Network",0.85,IF(D14="Adjacent Network",0.62,IF(D14="Local",0.55,IF(D14="Physical",0.2,0))))</f>
        <v>0.85</v>
      </c>
      <c r="F14" s="17" t="s">
        <v>47</v>
      </c>
      <c r="G14" s="29">
        <f t="shared" ref="G14:G15" si="14">IF(F14="Low",0.77,IF(F14="High",0.44,0))</f>
        <v>0.77</v>
      </c>
      <c r="H14" s="17" t="s">
        <v>42</v>
      </c>
      <c r="I14" s="29">
        <f t="shared" ref="I14:I15" si="15">IF(H14="None",0.85,IF(AND(H14="Low",L14="Unchanged"),0.62,IF(AND(H14="Low",L14="Changed"),0.68,IF(AND(H14="High",L14="Changed"),0.5,IF(AND(H14="High",L14="Unchanged"),0.27,0)))))</f>
        <v>0.85</v>
      </c>
      <c r="J14" s="17" t="s">
        <v>42</v>
      </c>
      <c r="K14" s="29">
        <f t="shared" ref="K14:K15" si="16">IF(J14="Required",0.62,IF(J14="None",0.85,0))</f>
        <v>0.85</v>
      </c>
      <c r="L14" s="17" t="s">
        <v>59</v>
      </c>
      <c r="M14" s="29">
        <f t="shared" ref="M14:M15" si="17">IF(L14="Changed",7.52,IF(L14="Unchanged",6.42,0))</f>
        <v>6.42</v>
      </c>
      <c r="N14" s="17" t="s">
        <v>39</v>
      </c>
      <c r="O14" s="17">
        <f t="shared" ref="O14:O15" si="18">IF(N14="High",0.56,IF(N14="Low",0.22,IF(N14="None",0,0)))</f>
        <v>0.56000000000000005</v>
      </c>
      <c r="P14" s="17" t="s">
        <v>39</v>
      </c>
      <c r="Q14" s="17">
        <f t="shared" ref="Q14:Q15" si="19">IF(P14="High",0.56,IF(P14="Low",0.22,IF(P14="None",0,0)))</f>
        <v>0.56000000000000005</v>
      </c>
      <c r="R14" s="17" t="s">
        <v>42</v>
      </c>
      <c r="S14" s="17">
        <f t="shared" ref="S14:S15" si="20">IF(R14="High",0.56,IF(R14="Low",0.22,IF(R14="None",0,0)))</f>
        <v>0</v>
      </c>
      <c r="T14" s="20">
        <f t="shared" ref="T14:T15" si="21">IF(V14&lt;=0,0,IF(L14="Unchanged",MIN(W14+V14,10),MIN((W14+V14)*1.08,10)))</f>
        <v>9.0641307750000006</v>
      </c>
      <c r="U14" s="21">
        <f t="shared" ref="U14:U15" si="22">(1-((1-O14)*(1-Q14)*(1-S14)))</f>
        <v>0.80640000000000001</v>
      </c>
      <c r="V14" s="22">
        <f t="shared" ref="V14:V15" si="23">IF(L14="Unchanged",M14*U14,M14*(U14-0.029)-3.25*POWER(U14-0.02,15))</f>
        <v>5.1770880000000004</v>
      </c>
      <c r="W14" s="22">
        <f t="shared" ref="W14:W15" si="24">8.22*E14*G14*I14*K14</f>
        <v>3.8870427750000003</v>
      </c>
      <c r="X14" s="29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35</v>
      </c>
      <c r="B15" s="17" t="s">
        <v>73</v>
      </c>
      <c r="C15" s="28" t="s">
        <v>139</v>
      </c>
      <c r="D15" s="17" t="s">
        <v>66</v>
      </c>
      <c r="E15" s="29">
        <f t="shared" si="13"/>
        <v>0.55000000000000004</v>
      </c>
      <c r="F15" s="17" t="s">
        <v>39</v>
      </c>
      <c r="G15" s="29">
        <f t="shared" si="14"/>
        <v>0.44</v>
      </c>
      <c r="H15" s="17" t="s">
        <v>39</v>
      </c>
      <c r="I15" s="29">
        <f t="shared" si="15"/>
        <v>0.5</v>
      </c>
      <c r="J15" s="17" t="s">
        <v>40</v>
      </c>
      <c r="K15" s="29">
        <f t="shared" si="16"/>
        <v>0.62</v>
      </c>
      <c r="L15" s="17" t="s">
        <v>41</v>
      </c>
      <c r="M15" s="29">
        <f t="shared" si="17"/>
        <v>7.52</v>
      </c>
      <c r="N15" s="17" t="s">
        <v>39</v>
      </c>
      <c r="O15" s="17">
        <f t="shared" si="18"/>
        <v>0.56000000000000005</v>
      </c>
      <c r="P15" s="17" t="s">
        <v>42</v>
      </c>
      <c r="Q15" s="17">
        <f t="shared" si="19"/>
        <v>0</v>
      </c>
      <c r="R15" s="17" t="s">
        <v>42</v>
      </c>
      <c r="S15" s="17">
        <f t="shared" si="20"/>
        <v>0</v>
      </c>
      <c r="T15" s="20">
        <f t="shared" si="21"/>
        <v>4.9782273597151239</v>
      </c>
      <c r="U15" s="21">
        <f t="shared" si="22"/>
        <v>0.56000000000000005</v>
      </c>
      <c r="V15" s="22">
        <f t="shared" si="23"/>
        <v>3.9928053775140029</v>
      </c>
      <c r="W15" s="22">
        <f t="shared" si="24"/>
        <v>0.61666440000000011</v>
      </c>
      <c r="X15" s="29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.7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20">
        <f>SUM(T14:T15)</f>
        <v>14.042358134715125</v>
      </c>
      <c r="U16" s="21"/>
      <c r="V16" s="22"/>
      <c r="W16" s="22"/>
      <c r="X16" s="62"/>
    </row>
    <row r="17" spans="1:24" ht="15.7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20"/>
      <c r="U17" s="21"/>
      <c r="V17" s="22"/>
      <c r="W17" s="22"/>
      <c r="X17" s="62"/>
    </row>
    <row r="18" spans="1:24" ht="15.7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20"/>
      <c r="U18" s="21"/>
      <c r="V18" s="22"/>
      <c r="W18" s="22"/>
      <c r="X18" s="62"/>
    </row>
    <row r="19" spans="1:24" ht="15.7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20"/>
      <c r="U19" s="21"/>
      <c r="V19" s="22"/>
      <c r="W19" s="22"/>
      <c r="X19" s="62"/>
    </row>
    <row r="20" spans="1:24" ht="15.7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20"/>
      <c r="U20" s="21"/>
      <c r="V20" s="22"/>
      <c r="W20" s="22"/>
      <c r="X20" s="62"/>
    </row>
    <row r="21" spans="1:24" ht="15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20"/>
      <c r="U21" s="21"/>
      <c r="V21" s="22"/>
      <c r="W21" s="22"/>
      <c r="X21" s="62"/>
    </row>
    <row r="22" spans="1:24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20"/>
      <c r="U22" s="21"/>
      <c r="V22" s="22"/>
      <c r="W22" s="22"/>
      <c r="X22" s="62"/>
    </row>
    <row r="23" spans="1:24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20"/>
      <c r="U23" s="21"/>
      <c r="V23" s="22"/>
      <c r="W23" s="22"/>
      <c r="X23" s="62"/>
    </row>
    <row r="24" spans="1:24" ht="15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20"/>
      <c r="U24" s="21"/>
      <c r="V24" s="22"/>
      <c r="W24" s="22"/>
      <c r="X24" s="62"/>
    </row>
    <row r="25" spans="1:24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20"/>
      <c r="U25" s="21"/>
      <c r="V25" s="22"/>
      <c r="W25" s="22"/>
      <c r="X25" s="62"/>
    </row>
    <row r="26" spans="1:24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20"/>
      <c r="U26" s="21"/>
      <c r="V26" s="22"/>
      <c r="W26" s="22"/>
      <c r="X26" s="62"/>
    </row>
    <row r="27" spans="1:24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20"/>
      <c r="U27" s="21"/>
      <c r="V27" s="22"/>
      <c r="W27" s="22"/>
      <c r="X27" s="62"/>
    </row>
    <row r="28" spans="1:24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20"/>
      <c r="U28" s="21"/>
      <c r="V28" s="22"/>
      <c r="W28" s="22"/>
      <c r="X28" s="62"/>
    </row>
    <row r="29" spans="1:24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20"/>
      <c r="U29" s="21"/>
      <c r="V29" s="22"/>
      <c r="W29" s="22"/>
      <c r="X29" s="62"/>
    </row>
    <row r="30" spans="1:24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20"/>
      <c r="U30" s="21"/>
      <c r="V30" s="22"/>
      <c r="W30" s="22"/>
      <c r="X30" s="62"/>
    </row>
    <row r="31" spans="1:24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20"/>
      <c r="U31" s="21"/>
      <c r="V31" s="22"/>
      <c r="W31" s="22"/>
      <c r="X31" s="62"/>
    </row>
    <row r="32" spans="1:24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20"/>
      <c r="U32" s="21"/>
      <c r="V32" s="22"/>
      <c r="W32" s="22"/>
      <c r="X32" s="62"/>
    </row>
    <row r="33" spans="1:24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20"/>
      <c r="U33" s="21"/>
      <c r="V33" s="22"/>
      <c r="W33" s="22"/>
      <c r="X33" s="62"/>
    </row>
    <row r="34" spans="1:2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20"/>
      <c r="U34" s="21"/>
      <c r="V34" s="22"/>
      <c r="W34" s="22"/>
      <c r="X34" s="62"/>
    </row>
    <row r="35" spans="1:24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20"/>
      <c r="U35" s="21"/>
      <c r="V35" s="22"/>
      <c r="W35" s="22"/>
      <c r="X35" s="62"/>
    </row>
    <row r="36" spans="1:24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20"/>
      <c r="U36" s="21"/>
      <c r="V36" s="22"/>
      <c r="W36" s="22"/>
      <c r="X36" s="62"/>
    </row>
    <row r="37" spans="1:24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20"/>
      <c r="U37" s="21"/>
      <c r="V37" s="22"/>
      <c r="W37" s="22"/>
      <c r="X37" s="62"/>
    </row>
    <row r="38" spans="1:24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20"/>
      <c r="U38" s="21"/>
      <c r="V38" s="22"/>
      <c r="W38" s="22"/>
      <c r="X38" s="62"/>
    </row>
    <row r="39" spans="1:24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20"/>
      <c r="U39" s="21"/>
      <c r="V39" s="22"/>
      <c r="W39" s="22"/>
      <c r="X39" s="62"/>
    </row>
    <row r="40" spans="1:24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20"/>
      <c r="U40" s="21"/>
      <c r="V40" s="22"/>
      <c r="W40" s="22"/>
      <c r="X40" s="62"/>
    </row>
    <row r="41" spans="1:24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20"/>
      <c r="U41" s="21"/>
      <c r="V41" s="22"/>
      <c r="W41" s="22"/>
      <c r="X41" s="62"/>
    </row>
    <row r="42" spans="1:24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20"/>
      <c r="U42" s="21"/>
      <c r="V42" s="22"/>
      <c r="W42" s="22"/>
      <c r="X42" s="62"/>
    </row>
    <row r="43" spans="1:24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20"/>
      <c r="U43" s="21"/>
      <c r="V43" s="22"/>
      <c r="W43" s="22"/>
      <c r="X43" s="62"/>
    </row>
    <row r="44" spans="1:2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20"/>
      <c r="U44" s="21"/>
      <c r="V44" s="22"/>
      <c r="W44" s="22"/>
      <c r="X44" s="62"/>
    </row>
    <row r="45" spans="1:24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20"/>
      <c r="U45" s="21"/>
      <c r="V45" s="22"/>
      <c r="W45" s="22"/>
      <c r="X45" s="62"/>
    </row>
    <row r="46" spans="1:24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20"/>
      <c r="U46" s="21"/>
      <c r="V46" s="22"/>
      <c r="W46" s="22"/>
      <c r="X46" s="62"/>
    </row>
    <row r="47" spans="1:24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 spans="1:24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</row>
    <row r="49" spans="1:24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</row>
    <row r="50" spans="1:24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</row>
    <row r="51" spans="1:24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 spans="1:24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spans="1:24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 spans="1:2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 spans="1:24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 spans="1:24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 spans="1:24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 spans="1:24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 spans="1:24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</row>
    <row r="60" spans="1:24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</row>
    <row r="61" spans="1:24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</row>
    <row r="62" spans="1:24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</row>
    <row r="63" spans="1:24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</row>
    <row r="64" spans="1:2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</row>
    <row r="65" spans="1:24" ht="13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</row>
    <row r="66" spans="1:24" ht="13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</row>
    <row r="67" spans="1:24" ht="13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</row>
    <row r="68" spans="1:24" ht="13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</row>
    <row r="69" spans="1:24" ht="13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</row>
    <row r="70" spans="1:24" ht="13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</row>
    <row r="71" spans="1:24" ht="13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 spans="1:24" ht="13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</row>
    <row r="73" spans="1:24" ht="1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</row>
    <row r="74" spans="1:24" ht="13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</row>
    <row r="75" spans="1:24" ht="13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</row>
    <row r="76" spans="1:24" ht="13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 spans="1:24" ht="13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</row>
    <row r="78" spans="1:24" ht="13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</row>
    <row r="79" spans="1:24" ht="13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</row>
    <row r="80" spans="1:24" ht="13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</row>
    <row r="81" spans="1:24" ht="13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</row>
    <row r="82" spans="1:24" ht="13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</row>
    <row r="83" spans="1:24" ht="1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</row>
    <row r="84" spans="1:24" ht="13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</row>
    <row r="85" spans="1:24" ht="13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</row>
    <row r="86" spans="1:24" ht="13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</row>
    <row r="87" spans="1:24" ht="13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</row>
    <row r="88" spans="1:24" ht="13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</row>
    <row r="89" spans="1:24" ht="13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 spans="1:24" ht="13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</row>
    <row r="91" spans="1:24" ht="13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</row>
    <row r="92" spans="1:24" ht="13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</row>
    <row r="93" spans="1:24" ht="1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</row>
    <row r="94" spans="1:24" ht="13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</row>
    <row r="95" spans="1:24" ht="13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</row>
    <row r="96" spans="1:24" ht="13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</row>
    <row r="97" spans="1:24" ht="13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 spans="1:24" ht="13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</row>
    <row r="99" spans="1:24" ht="13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 spans="1:24" ht="13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</row>
    <row r="101" spans="1:24" ht="13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</row>
    <row r="102" spans="1:24" ht="13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</row>
    <row r="103" spans="1:24" ht="1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</row>
    <row r="104" spans="1:24" ht="13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</row>
    <row r="105" spans="1:24" ht="13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</row>
    <row r="106" spans="1:24" ht="13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</row>
    <row r="107" spans="1:24" ht="13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</row>
    <row r="108" spans="1:24" ht="13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</row>
    <row r="109" spans="1:24" ht="13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</row>
    <row r="110" spans="1:24" ht="13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</row>
    <row r="111" spans="1:24" ht="13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</row>
    <row r="112" spans="1:24" ht="13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</row>
    <row r="113" spans="1:24" ht="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</row>
    <row r="114" spans="1:24" ht="13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</row>
    <row r="115" spans="1:24" ht="13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</row>
    <row r="116" spans="1:24" ht="13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</row>
    <row r="117" spans="1:24" ht="13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</row>
    <row r="118" spans="1:24" ht="13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</row>
    <row r="119" spans="1:24" ht="13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</row>
    <row r="120" spans="1:24" ht="13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</row>
    <row r="121" spans="1:24" ht="13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</row>
    <row r="122" spans="1:24" ht="13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</row>
    <row r="123" spans="1:24" ht="1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</row>
    <row r="124" spans="1:24" ht="13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</row>
    <row r="125" spans="1:24" ht="13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</row>
    <row r="126" spans="1:24" ht="13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</row>
    <row r="127" spans="1:24" ht="13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</row>
    <row r="128" spans="1:24" ht="13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</row>
    <row r="129" spans="1:24" ht="13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</row>
    <row r="130" spans="1:24" ht="13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</row>
    <row r="131" spans="1:24" ht="13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</row>
    <row r="132" spans="1:24" ht="13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</row>
    <row r="133" spans="1:24" ht="1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</row>
    <row r="134" spans="1:24" ht="13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</row>
    <row r="135" spans="1:24" ht="13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</row>
    <row r="136" spans="1:24" ht="13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</row>
    <row r="137" spans="1:24" ht="13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</row>
    <row r="138" spans="1:24" ht="13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</row>
    <row r="139" spans="1:24" ht="13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</row>
    <row r="140" spans="1:24" ht="13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</row>
    <row r="141" spans="1:24" ht="13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</row>
    <row r="142" spans="1:24" ht="13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</row>
    <row r="143" spans="1:24" ht="1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</row>
    <row r="144" spans="1:24" ht="13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</row>
    <row r="145" spans="1:24" ht="13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</row>
    <row r="146" spans="1:24" ht="13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</row>
    <row r="147" spans="1:24" ht="13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</row>
    <row r="148" spans="1:24" ht="13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</row>
    <row r="149" spans="1:24" ht="13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</row>
    <row r="150" spans="1:24" ht="13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</row>
    <row r="151" spans="1:24" ht="13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</row>
    <row r="152" spans="1:24" ht="13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</row>
    <row r="153" spans="1:24" ht="1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</row>
    <row r="154" spans="1:24" ht="13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</row>
    <row r="155" spans="1:24" ht="13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</row>
    <row r="156" spans="1:24" ht="13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</row>
    <row r="157" spans="1:24" ht="13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</row>
    <row r="158" spans="1:24" ht="13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</row>
    <row r="159" spans="1:24" ht="13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</row>
    <row r="160" spans="1:24" ht="13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</row>
    <row r="161" spans="1:24" ht="13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</row>
    <row r="162" spans="1:24" ht="13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</row>
    <row r="163" spans="1:24" ht="1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</row>
    <row r="164" spans="1:24" ht="13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</row>
    <row r="165" spans="1:24" ht="13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</row>
    <row r="166" spans="1:24" ht="13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</row>
    <row r="167" spans="1:24" ht="13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</row>
    <row r="168" spans="1:24" ht="13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</row>
    <row r="169" spans="1:24" ht="13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</row>
    <row r="170" spans="1:24" ht="13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</row>
    <row r="171" spans="1:24" ht="13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</row>
    <row r="172" spans="1:24" ht="13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</row>
    <row r="173" spans="1:24" ht="1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</row>
    <row r="174" spans="1:24" ht="13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</row>
    <row r="175" spans="1:24" ht="13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</row>
    <row r="176" spans="1:24" ht="13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</row>
    <row r="177" spans="1:24" ht="13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</row>
    <row r="178" spans="1:24" ht="13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</row>
    <row r="179" spans="1:24" ht="13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</row>
    <row r="180" spans="1:24" ht="13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</row>
    <row r="181" spans="1:24" ht="13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</row>
    <row r="182" spans="1:24" ht="13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</row>
    <row r="183" spans="1:24" ht="1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</row>
    <row r="184" spans="1:24" ht="13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</row>
    <row r="185" spans="1:24" ht="13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</row>
    <row r="186" spans="1:24" ht="13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</row>
    <row r="187" spans="1:24" ht="13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</row>
    <row r="188" spans="1:24" ht="13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</row>
    <row r="189" spans="1:24" ht="13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</row>
    <row r="190" spans="1:24" ht="13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</row>
    <row r="191" spans="1:24" ht="13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</row>
    <row r="192" spans="1:24" ht="13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</row>
    <row r="193" spans="1:24" ht="1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</row>
    <row r="194" spans="1:24" ht="13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</row>
    <row r="195" spans="1:24" ht="13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</row>
    <row r="196" spans="1:24" ht="13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</row>
    <row r="197" spans="1:24" ht="13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</row>
    <row r="198" spans="1:24" ht="13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</row>
    <row r="199" spans="1:24" ht="13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</row>
    <row r="200" spans="1:24" ht="13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</row>
    <row r="201" spans="1:24" ht="13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</row>
    <row r="202" spans="1:24" ht="13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</row>
    <row r="203" spans="1:24" ht="1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</row>
    <row r="204" spans="1:24" ht="13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</row>
    <row r="205" spans="1:24" ht="13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</row>
    <row r="206" spans="1:24" ht="13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</row>
    <row r="207" spans="1:24" ht="13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</row>
    <row r="208" spans="1:24" ht="13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</row>
    <row r="209" spans="1:24" ht="13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</row>
    <row r="210" spans="1:24" ht="13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</row>
    <row r="211" spans="1:24" ht="13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</row>
    <row r="212" spans="1:24" ht="13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</row>
    <row r="213" spans="1:24" ht="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</row>
    <row r="214" spans="1:24" ht="13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</row>
    <row r="215" spans="1:24" ht="13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</row>
    <row r="216" spans="1:24" ht="13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</row>
    <row r="217" spans="1:24" ht="13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</row>
    <row r="218" spans="1:24" ht="13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</row>
    <row r="219" spans="1:24" ht="13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</row>
    <row r="220" spans="1:24" ht="13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</row>
    <row r="221" spans="1:24" ht="13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</row>
    <row r="222" spans="1:24" ht="13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</row>
    <row r="223" spans="1:24" ht="1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</row>
    <row r="224" spans="1:24" ht="13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</row>
    <row r="225" spans="1:24" ht="13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</row>
    <row r="226" spans="1:24" ht="13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</row>
    <row r="227" spans="1:24" ht="13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</row>
    <row r="228" spans="1:24" ht="13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</row>
    <row r="229" spans="1:24" ht="13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</row>
    <row r="230" spans="1:24" ht="13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</row>
    <row r="231" spans="1:24" ht="13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</row>
    <row r="232" spans="1:24" ht="13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</row>
    <row r="233" spans="1:24" ht="1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</row>
    <row r="234" spans="1:24" ht="13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</row>
    <row r="235" spans="1:24" ht="13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</row>
    <row r="236" spans="1:24" ht="13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</row>
    <row r="237" spans="1:24" ht="13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</row>
    <row r="238" spans="1:24" ht="13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</row>
    <row r="239" spans="1:24" ht="13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</row>
    <row r="240" spans="1:24" ht="13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</row>
    <row r="241" spans="1:24" ht="13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</row>
    <row r="242" spans="1:24" ht="13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</row>
    <row r="243" spans="1:24" ht="1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</row>
    <row r="244" spans="1:24" ht="13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</row>
    <row r="245" spans="1:24" ht="13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</row>
    <row r="246" spans="1:24" ht="13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</row>
    <row r="247" spans="1:24" ht="13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</row>
    <row r="248" spans="1:24" ht="13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</row>
    <row r="249" spans="1:24" ht="13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</row>
    <row r="250" spans="1:24" ht="13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</row>
    <row r="251" spans="1:24" ht="13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</row>
    <row r="252" spans="1:24" ht="13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</row>
    <row r="253" spans="1:24" ht="1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</row>
    <row r="254" spans="1:24" ht="13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</row>
    <row r="255" spans="1:24" ht="13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</row>
    <row r="256" spans="1:24" ht="13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</row>
    <row r="257" spans="1:24" ht="13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</row>
    <row r="258" spans="1:24" ht="13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</row>
    <row r="259" spans="1:24" ht="13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</row>
    <row r="260" spans="1:24" ht="13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</row>
    <row r="261" spans="1:24" ht="13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</row>
    <row r="262" spans="1:24" ht="13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</row>
    <row r="263" spans="1:24" ht="1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</row>
    <row r="264" spans="1:24" ht="13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</row>
    <row r="265" spans="1:24" ht="13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</row>
    <row r="266" spans="1:24" ht="13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</row>
    <row r="267" spans="1:24" ht="13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</row>
    <row r="268" spans="1:24" ht="13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</row>
    <row r="269" spans="1:24" ht="13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</row>
    <row r="270" spans="1:24" ht="13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</row>
    <row r="271" spans="1:24" ht="13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</row>
    <row r="272" spans="1:24" ht="13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</row>
    <row r="273" spans="1:24" ht="1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</row>
    <row r="274" spans="1:24" ht="13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</row>
    <row r="275" spans="1:24" ht="13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</row>
    <row r="276" spans="1:24" ht="13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</row>
    <row r="277" spans="1:24" ht="13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</row>
    <row r="278" spans="1:24" ht="13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</row>
    <row r="279" spans="1:24" ht="13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</row>
    <row r="280" spans="1:24" ht="13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</row>
    <row r="281" spans="1:24" ht="13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</row>
    <row r="282" spans="1:24" ht="13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</row>
    <row r="283" spans="1:24" ht="1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</row>
    <row r="284" spans="1:24" ht="13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</row>
    <row r="285" spans="1:24" ht="13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</row>
    <row r="286" spans="1:24" ht="13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</row>
    <row r="287" spans="1:24" ht="13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</row>
    <row r="288" spans="1:24" ht="13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</row>
    <row r="289" spans="1:24" ht="13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</row>
    <row r="290" spans="1:24" ht="13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</row>
    <row r="291" spans="1:24" ht="13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</row>
    <row r="292" spans="1:24" ht="13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</row>
    <row r="293" spans="1:24" ht="1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</row>
    <row r="294" spans="1:24" ht="13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</row>
    <row r="295" spans="1:24" ht="13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</row>
    <row r="296" spans="1:24" ht="13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</row>
    <row r="297" spans="1:24" ht="13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</row>
    <row r="298" spans="1:24" ht="13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</row>
    <row r="299" spans="1:24" ht="13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</row>
    <row r="300" spans="1:24" ht="13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</row>
    <row r="301" spans="1:24" ht="13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</row>
    <row r="302" spans="1:24" ht="13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</row>
    <row r="303" spans="1:24" ht="1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</row>
    <row r="304" spans="1:24" ht="13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</row>
    <row r="305" spans="1:24" ht="13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</row>
    <row r="306" spans="1:24" ht="13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</row>
    <row r="307" spans="1:24" ht="13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</row>
    <row r="308" spans="1:24" ht="13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</row>
    <row r="309" spans="1:24" ht="13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</row>
    <row r="310" spans="1:24" ht="13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</row>
    <row r="311" spans="1:24" ht="13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</row>
    <row r="312" spans="1:24" ht="13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</row>
    <row r="313" spans="1:24" ht="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</row>
    <row r="314" spans="1:24" ht="13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</row>
    <row r="315" spans="1:24" ht="13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</row>
    <row r="316" spans="1:24" ht="13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</row>
    <row r="317" spans="1:24" ht="13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</row>
    <row r="318" spans="1:24" ht="13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</row>
    <row r="319" spans="1:24" ht="13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</row>
    <row r="320" spans="1:24" ht="13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</row>
    <row r="321" spans="1:24" ht="13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</row>
    <row r="322" spans="1:24" ht="13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</row>
    <row r="323" spans="1:24" ht="1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</row>
    <row r="324" spans="1:24" ht="13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</row>
    <row r="325" spans="1:24" ht="13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</row>
    <row r="326" spans="1:24" ht="13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</row>
    <row r="327" spans="1:24" ht="13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</row>
    <row r="328" spans="1:24" ht="13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</row>
    <row r="329" spans="1:24" ht="13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</row>
    <row r="330" spans="1:24" ht="13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</row>
    <row r="331" spans="1:24" ht="13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</row>
    <row r="332" spans="1:24" ht="13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</row>
    <row r="333" spans="1:24" ht="1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</row>
    <row r="334" spans="1:24" ht="13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</row>
    <row r="335" spans="1:24" ht="13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</row>
    <row r="336" spans="1:24" ht="13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</row>
    <row r="337" spans="1:24" ht="13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</row>
    <row r="338" spans="1:24" ht="13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</row>
    <row r="339" spans="1:24" ht="13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</row>
    <row r="340" spans="1:24" ht="13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</row>
    <row r="341" spans="1:24" ht="13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</row>
    <row r="342" spans="1:24" ht="13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</row>
    <row r="343" spans="1:24" ht="1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</row>
    <row r="344" spans="1:24" ht="13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</row>
    <row r="345" spans="1:24" ht="13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</row>
    <row r="346" spans="1:24" ht="13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</row>
    <row r="347" spans="1:24" ht="13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</row>
    <row r="348" spans="1:24" ht="13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</row>
    <row r="349" spans="1:24" ht="13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</row>
    <row r="350" spans="1:24" ht="13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</row>
    <row r="351" spans="1:24" ht="13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</row>
    <row r="352" spans="1:24" ht="13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</row>
    <row r="353" spans="1:24" ht="1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</row>
    <row r="354" spans="1:24" ht="13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</row>
    <row r="355" spans="1:24" ht="13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</row>
    <row r="356" spans="1:24" ht="13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</row>
    <row r="357" spans="1:24" ht="13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</row>
    <row r="358" spans="1:24" ht="13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</row>
    <row r="359" spans="1:24" ht="13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</row>
    <row r="360" spans="1:24" ht="13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</row>
    <row r="361" spans="1:24" ht="13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</row>
    <row r="362" spans="1:24" ht="13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</row>
    <row r="363" spans="1:24" ht="1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</row>
    <row r="364" spans="1:24" ht="13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</row>
    <row r="365" spans="1:24" ht="13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</row>
    <row r="366" spans="1:24" ht="13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</row>
    <row r="367" spans="1:24" ht="13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</row>
    <row r="368" spans="1:24" ht="13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</row>
    <row r="369" spans="1:24" ht="13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</row>
    <row r="370" spans="1:24" ht="13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</row>
    <row r="371" spans="1:24" ht="13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</row>
    <row r="372" spans="1:24" ht="13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</row>
    <row r="373" spans="1:24" ht="1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</row>
    <row r="374" spans="1:24" ht="13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</row>
    <row r="375" spans="1:24" ht="13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</row>
    <row r="376" spans="1:24" ht="13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</row>
    <row r="377" spans="1:24" ht="13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</row>
    <row r="378" spans="1:24" ht="13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</row>
    <row r="379" spans="1:24" ht="13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</row>
    <row r="380" spans="1:24" ht="13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</row>
    <row r="381" spans="1:24" ht="13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</row>
    <row r="382" spans="1:24" ht="13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</row>
    <row r="383" spans="1:24" ht="1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</row>
    <row r="384" spans="1:24" ht="13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</row>
    <row r="385" spans="1:24" ht="13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</row>
    <row r="386" spans="1:24" ht="13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</row>
    <row r="387" spans="1:24" ht="13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</row>
    <row r="388" spans="1:24" ht="13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</row>
    <row r="389" spans="1:24" ht="13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</row>
    <row r="390" spans="1:24" ht="13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</row>
    <row r="391" spans="1:24" ht="13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</row>
    <row r="392" spans="1:24" ht="13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</row>
    <row r="393" spans="1:24" ht="1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</row>
    <row r="394" spans="1:24" ht="13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</row>
    <row r="395" spans="1:24" ht="13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</row>
    <row r="396" spans="1:24" ht="13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</row>
    <row r="397" spans="1:24" ht="13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</row>
    <row r="398" spans="1:24" ht="13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</row>
    <row r="399" spans="1:24" ht="13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</row>
    <row r="400" spans="1:24" ht="13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</row>
    <row r="401" spans="1:24" ht="13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</row>
    <row r="402" spans="1:24" ht="13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</row>
    <row r="403" spans="1:24" ht="1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</row>
    <row r="404" spans="1:24" ht="13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</row>
    <row r="405" spans="1:24" ht="13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</row>
    <row r="406" spans="1:24" ht="13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</row>
    <row r="407" spans="1:24" ht="13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</row>
    <row r="408" spans="1:24" ht="13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</row>
    <row r="409" spans="1:24" ht="13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</row>
    <row r="410" spans="1:24" ht="13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</row>
    <row r="411" spans="1:24" ht="13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</row>
    <row r="412" spans="1:24" ht="13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</row>
    <row r="413" spans="1:24" ht="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</row>
    <row r="414" spans="1:24" ht="13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</row>
    <row r="415" spans="1:24" ht="13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</row>
    <row r="416" spans="1:24" ht="13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</row>
    <row r="417" spans="1:24" ht="13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</row>
    <row r="418" spans="1:24" ht="13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</row>
    <row r="419" spans="1:24" ht="13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</row>
    <row r="420" spans="1:24" ht="13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</row>
    <row r="421" spans="1:24" ht="13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</row>
    <row r="422" spans="1:24" ht="13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</row>
    <row r="423" spans="1:24" ht="1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</row>
    <row r="424" spans="1:24" ht="13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</row>
    <row r="425" spans="1:24" ht="13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</row>
    <row r="426" spans="1:24" ht="13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</row>
    <row r="427" spans="1:24" ht="13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</row>
    <row r="428" spans="1:24" ht="13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</row>
    <row r="429" spans="1:24" ht="13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</row>
    <row r="430" spans="1:24" ht="13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</row>
    <row r="431" spans="1:24" ht="13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</row>
    <row r="432" spans="1:24" ht="13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</row>
    <row r="433" spans="1:24" ht="1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</row>
    <row r="434" spans="1:24" ht="13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</row>
    <row r="435" spans="1:24" ht="13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</row>
    <row r="436" spans="1:24" ht="13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</row>
    <row r="437" spans="1:24" ht="13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</row>
    <row r="438" spans="1:24" ht="13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</row>
    <row r="439" spans="1:24" ht="13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</row>
    <row r="440" spans="1:24" ht="13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</row>
    <row r="441" spans="1:24" ht="13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</row>
    <row r="442" spans="1:24" ht="13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</row>
    <row r="443" spans="1:24" ht="1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</row>
    <row r="444" spans="1:24" ht="13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</row>
    <row r="445" spans="1:24" ht="13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</row>
    <row r="446" spans="1:24" ht="13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</row>
    <row r="447" spans="1:24" ht="13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</row>
    <row r="448" spans="1:24" ht="13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</row>
    <row r="449" spans="1:24" ht="13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</row>
    <row r="450" spans="1:24" ht="13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</row>
    <row r="451" spans="1:24" ht="13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</row>
    <row r="452" spans="1:24" ht="13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</row>
    <row r="453" spans="1:24" ht="1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</row>
    <row r="454" spans="1:24" ht="13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</row>
    <row r="455" spans="1:24" ht="13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</row>
    <row r="456" spans="1:24" ht="13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</row>
    <row r="457" spans="1:24" ht="13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</row>
    <row r="458" spans="1:24" ht="13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</row>
    <row r="459" spans="1:24" ht="13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</row>
    <row r="460" spans="1:24" ht="13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</row>
    <row r="461" spans="1:24" ht="13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</row>
    <row r="462" spans="1:24" ht="13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</row>
    <row r="463" spans="1:24" ht="1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</row>
    <row r="464" spans="1:24" ht="13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</row>
    <row r="465" spans="1:24" ht="13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</row>
    <row r="466" spans="1:24" ht="13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</row>
    <row r="467" spans="1:24" ht="13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</row>
    <row r="468" spans="1:24" ht="13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</row>
    <row r="469" spans="1:24" ht="13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</row>
    <row r="470" spans="1:24" ht="13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</row>
    <row r="471" spans="1:24" ht="13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</row>
    <row r="472" spans="1:24" ht="13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</row>
    <row r="473" spans="1:24" ht="1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</row>
    <row r="474" spans="1:24" ht="13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</row>
    <row r="475" spans="1:24" ht="13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</row>
    <row r="476" spans="1:24" ht="13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</row>
    <row r="477" spans="1:24" ht="13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</row>
    <row r="478" spans="1:24" ht="13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</row>
    <row r="479" spans="1:24" ht="13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</row>
    <row r="480" spans="1:24" ht="13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</row>
    <row r="481" spans="1:24" ht="13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</row>
    <row r="482" spans="1:24" ht="13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</row>
    <row r="483" spans="1:24" ht="1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</row>
    <row r="484" spans="1:24" ht="13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</row>
    <row r="485" spans="1:24" ht="13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</row>
    <row r="486" spans="1:24" ht="13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</row>
    <row r="487" spans="1:24" ht="13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</row>
    <row r="488" spans="1:24" ht="13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</row>
    <row r="489" spans="1:24" ht="13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</row>
    <row r="490" spans="1:24" ht="13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</row>
    <row r="491" spans="1:24" ht="13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</row>
    <row r="492" spans="1:24" ht="13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</row>
    <row r="493" spans="1:24" ht="1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</row>
    <row r="494" spans="1:24" ht="13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</row>
    <row r="495" spans="1:24" ht="13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</row>
    <row r="496" spans="1:24" ht="13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</row>
    <row r="497" spans="1:24" ht="13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</row>
    <row r="498" spans="1:24" ht="13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</row>
    <row r="499" spans="1:24" ht="13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</row>
    <row r="500" spans="1:24" ht="13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</row>
    <row r="501" spans="1:24" ht="13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</row>
    <row r="502" spans="1:24" ht="13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</row>
    <row r="503" spans="1:24" ht="1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</row>
    <row r="504" spans="1:24" ht="13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</row>
    <row r="505" spans="1:24" ht="13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</row>
    <row r="506" spans="1:24" ht="13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</row>
    <row r="507" spans="1:24" ht="13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</row>
    <row r="508" spans="1:24" ht="13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</row>
    <row r="509" spans="1:24" ht="13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</row>
    <row r="510" spans="1:24" ht="13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</row>
    <row r="511" spans="1:24" ht="13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</row>
    <row r="512" spans="1:24" ht="13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</row>
    <row r="513" spans="1:24" ht="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</row>
    <row r="514" spans="1:24" ht="13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</row>
    <row r="515" spans="1:24" ht="13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</row>
    <row r="516" spans="1:24" ht="13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</row>
    <row r="517" spans="1:24" ht="13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</row>
    <row r="518" spans="1:24" ht="13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</row>
    <row r="519" spans="1:24" ht="13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</row>
    <row r="520" spans="1:24" ht="13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</row>
    <row r="521" spans="1:24" ht="13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</row>
    <row r="522" spans="1:24" ht="13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</row>
    <row r="523" spans="1:24" ht="1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</row>
    <row r="524" spans="1:24" ht="13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</row>
    <row r="525" spans="1:24" ht="13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</row>
    <row r="526" spans="1:24" ht="13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</row>
    <row r="527" spans="1:24" ht="13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</row>
    <row r="528" spans="1:24" ht="13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</row>
    <row r="529" spans="1:24" ht="13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</row>
    <row r="530" spans="1:24" ht="13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</row>
    <row r="531" spans="1:24" ht="13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</row>
    <row r="532" spans="1:24" ht="13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</row>
    <row r="533" spans="1:24" ht="1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</row>
    <row r="534" spans="1:24" ht="13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</row>
    <row r="535" spans="1:24" ht="13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</row>
    <row r="536" spans="1:24" ht="13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</row>
    <row r="537" spans="1:24" ht="13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</row>
    <row r="538" spans="1:24" ht="13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</row>
    <row r="539" spans="1:24" ht="13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</row>
    <row r="540" spans="1:24" ht="13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</row>
    <row r="541" spans="1:24" ht="13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</row>
    <row r="542" spans="1:24" ht="13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</row>
    <row r="543" spans="1:24" ht="1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</row>
    <row r="544" spans="1:24" ht="13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</row>
    <row r="545" spans="1:24" ht="13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</row>
    <row r="546" spans="1:24" ht="13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</row>
    <row r="547" spans="1:24" ht="13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</row>
    <row r="548" spans="1:24" ht="13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</row>
    <row r="549" spans="1:24" ht="13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</row>
    <row r="550" spans="1:24" ht="13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</row>
    <row r="551" spans="1:24" ht="13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</row>
    <row r="552" spans="1:24" ht="13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</row>
    <row r="553" spans="1:24" ht="1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</row>
    <row r="554" spans="1:24" ht="13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</row>
    <row r="555" spans="1:24" ht="13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</row>
    <row r="556" spans="1:24" ht="13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</row>
    <row r="557" spans="1:24" ht="13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</row>
    <row r="558" spans="1:24" ht="13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</row>
    <row r="559" spans="1:24" ht="13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</row>
    <row r="560" spans="1:24" ht="13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</row>
    <row r="561" spans="1:24" ht="13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</row>
    <row r="562" spans="1:24" ht="13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</row>
    <row r="563" spans="1:24" ht="1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</row>
    <row r="564" spans="1:24" ht="13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</row>
    <row r="565" spans="1:24" ht="13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</row>
    <row r="566" spans="1:24" ht="13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</row>
    <row r="567" spans="1:24" ht="13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</row>
    <row r="568" spans="1:24" ht="13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</row>
    <row r="569" spans="1:24" ht="13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</row>
    <row r="570" spans="1:24" ht="13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</row>
    <row r="571" spans="1:24" ht="13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</row>
    <row r="572" spans="1:24" ht="13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</row>
    <row r="573" spans="1:24" ht="1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</row>
    <row r="574" spans="1:24" ht="13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</row>
    <row r="575" spans="1:24" ht="13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</row>
    <row r="576" spans="1:24" ht="13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</row>
    <row r="577" spans="1:24" ht="13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</row>
    <row r="578" spans="1:24" ht="13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</row>
    <row r="579" spans="1:24" ht="13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</row>
    <row r="580" spans="1:24" ht="13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</row>
    <row r="581" spans="1:24" ht="13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</row>
    <row r="582" spans="1:24" ht="13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</row>
    <row r="583" spans="1:24" ht="1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</row>
    <row r="584" spans="1:24" ht="13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</row>
    <row r="585" spans="1:24" ht="13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</row>
    <row r="586" spans="1:24" ht="13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</row>
    <row r="587" spans="1:24" ht="13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</row>
    <row r="588" spans="1:24" ht="13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</row>
    <row r="589" spans="1:24" ht="13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</row>
    <row r="590" spans="1:24" ht="13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</row>
    <row r="591" spans="1:24" ht="13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</row>
    <row r="592" spans="1:24" ht="13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</row>
    <row r="593" spans="1:24" ht="1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</row>
    <row r="594" spans="1:24" ht="13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</row>
    <row r="595" spans="1:24" ht="13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</row>
    <row r="596" spans="1:24" ht="13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</row>
    <row r="597" spans="1:24" ht="13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</row>
    <row r="598" spans="1:24" ht="13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</row>
    <row r="599" spans="1:24" ht="13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</row>
    <row r="600" spans="1:24" ht="13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</row>
    <row r="601" spans="1:24" ht="13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</row>
    <row r="602" spans="1:24" ht="13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</row>
    <row r="603" spans="1:24" ht="1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</row>
    <row r="604" spans="1:24" ht="13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</row>
    <row r="605" spans="1:24" ht="13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</row>
    <row r="606" spans="1:24" ht="13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</row>
    <row r="607" spans="1:24" ht="13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</row>
    <row r="608" spans="1:24" ht="13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</row>
    <row r="609" spans="1:24" ht="13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</row>
    <row r="610" spans="1:24" ht="13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</row>
    <row r="611" spans="1:24" ht="13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</row>
    <row r="612" spans="1:24" ht="13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</row>
    <row r="613" spans="1:24" ht="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</row>
    <row r="614" spans="1:24" ht="13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</row>
    <row r="615" spans="1:24" ht="13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</row>
    <row r="616" spans="1:24" ht="13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</row>
    <row r="617" spans="1:24" ht="13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</row>
    <row r="618" spans="1:24" ht="13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</row>
    <row r="619" spans="1:24" ht="13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</row>
    <row r="620" spans="1:24" ht="13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</row>
    <row r="621" spans="1:24" ht="13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</row>
    <row r="622" spans="1:24" ht="13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</row>
    <row r="623" spans="1:24" ht="1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</row>
    <row r="624" spans="1:24" ht="13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</row>
    <row r="625" spans="1:24" ht="13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</row>
    <row r="626" spans="1:24" ht="13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</row>
    <row r="627" spans="1:24" ht="13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</row>
    <row r="628" spans="1:24" ht="13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</row>
    <row r="629" spans="1:24" ht="13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</row>
    <row r="630" spans="1:24" ht="13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</row>
    <row r="631" spans="1:24" ht="13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</row>
    <row r="632" spans="1:24" ht="13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</row>
    <row r="633" spans="1:24" ht="1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</row>
    <row r="634" spans="1:24" ht="13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</row>
    <row r="635" spans="1:24" ht="13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</row>
    <row r="636" spans="1:24" ht="13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</row>
    <row r="637" spans="1:24" ht="13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</row>
    <row r="638" spans="1:24" ht="13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</row>
    <row r="639" spans="1:24" ht="13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</row>
    <row r="640" spans="1:24" ht="13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</row>
    <row r="641" spans="1:24" ht="13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</row>
    <row r="642" spans="1:24" ht="13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</row>
    <row r="643" spans="1:24" ht="1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</row>
    <row r="644" spans="1:24" ht="13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</row>
    <row r="645" spans="1:24" ht="13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</row>
    <row r="646" spans="1:24" ht="13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</row>
    <row r="647" spans="1:24" ht="13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</row>
    <row r="648" spans="1:24" ht="13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</row>
    <row r="649" spans="1:24" ht="13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</row>
    <row r="650" spans="1:24" ht="13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</row>
    <row r="651" spans="1:24" ht="13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</row>
    <row r="652" spans="1:24" ht="13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</row>
    <row r="653" spans="1:24" ht="1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</row>
    <row r="654" spans="1:24" ht="13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</row>
    <row r="655" spans="1:24" ht="13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</row>
    <row r="656" spans="1:24" ht="13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</row>
    <row r="657" spans="1:24" ht="13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</row>
    <row r="658" spans="1:24" ht="13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</row>
    <row r="659" spans="1:24" ht="13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</row>
    <row r="660" spans="1:24" ht="13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</row>
    <row r="661" spans="1:24" ht="13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</row>
    <row r="662" spans="1:24" ht="13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</row>
    <row r="663" spans="1:24" ht="1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</row>
    <row r="664" spans="1:24" ht="13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</row>
    <row r="665" spans="1:24" ht="13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</row>
    <row r="666" spans="1:24" ht="13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</row>
    <row r="667" spans="1:24" ht="13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</row>
    <row r="668" spans="1:24" ht="13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</row>
    <row r="669" spans="1:24" ht="13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</row>
    <row r="670" spans="1:24" ht="13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</row>
    <row r="671" spans="1:24" ht="13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</row>
    <row r="672" spans="1:24" ht="13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</row>
    <row r="673" spans="1:24" ht="1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</row>
    <row r="674" spans="1:24" ht="13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</row>
    <row r="675" spans="1:24" ht="13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</row>
    <row r="676" spans="1:24" ht="13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</row>
    <row r="677" spans="1:24" ht="13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</row>
    <row r="678" spans="1:24" ht="13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</row>
    <row r="679" spans="1:24" ht="13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</row>
    <row r="680" spans="1:24" ht="13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</row>
    <row r="681" spans="1:24" ht="13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</row>
    <row r="682" spans="1:24" ht="13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</row>
    <row r="683" spans="1:24" ht="1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</row>
    <row r="684" spans="1:24" ht="13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</row>
    <row r="685" spans="1:24" ht="13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</row>
    <row r="686" spans="1:24" ht="13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</row>
    <row r="687" spans="1:24" ht="13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</row>
    <row r="688" spans="1:24" ht="13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</row>
    <row r="689" spans="1:24" ht="13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</row>
    <row r="690" spans="1:24" ht="13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</row>
    <row r="691" spans="1:24" ht="13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</row>
    <row r="692" spans="1:24" ht="13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</row>
    <row r="693" spans="1:24" ht="1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</row>
    <row r="694" spans="1:24" ht="13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</row>
    <row r="695" spans="1:24" ht="13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</row>
    <row r="696" spans="1:24" ht="13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</row>
    <row r="697" spans="1:24" ht="13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</row>
    <row r="698" spans="1:24" ht="13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</row>
    <row r="699" spans="1:24" ht="13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</row>
    <row r="700" spans="1:24" ht="13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</row>
    <row r="701" spans="1:24" ht="13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</row>
    <row r="702" spans="1:24" ht="13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</row>
    <row r="703" spans="1:24" ht="1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</row>
    <row r="704" spans="1:24" ht="13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</row>
    <row r="705" spans="1:24" ht="13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</row>
    <row r="706" spans="1:24" ht="13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</row>
    <row r="707" spans="1:24" ht="13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</row>
    <row r="708" spans="1:24" ht="13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</row>
    <row r="709" spans="1:24" ht="13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</row>
    <row r="710" spans="1:24" ht="13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</row>
    <row r="711" spans="1:24" ht="13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</row>
    <row r="712" spans="1:24" ht="13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</row>
    <row r="713" spans="1:24" ht="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</row>
    <row r="714" spans="1:24" ht="13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</row>
    <row r="715" spans="1:24" ht="13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</row>
    <row r="716" spans="1:24" ht="13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</row>
    <row r="717" spans="1:24" ht="13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</row>
    <row r="718" spans="1:24" ht="13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</row>
    <row r="719" spans="1:24" ht="13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</row>
    <row r="720" spans="1:24" ht="13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</row>
    <row r="721" spans="1:24" ht="13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</row>
    <row r="722" spans="1:24" ht="13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</row>
    <row r="723" spans="1:24" ht="1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</row>
    <row r="724" spans="1:24" ht="13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</row>
    <row r="725" spans="1:24" ht="13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</row>
    <row r="726" spans="1:24" ht="13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</row>
    <row r="727" spans="1:24" ht="13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</row>
    <row r="728" spans="1:24" ht="13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</row>
    <row r="729" spans="1:24" ht="13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</row>
    <row r="730" spans="1:24" ht="13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</row>
    <row r="731" spans="1:24" ht="13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</row>
    <row r="732" spans="1:24" ht="13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</row>
    <row r="733" spans="1:24" ht="1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</row>
    <row r="734" spans="1:24" ht="13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</row>
    <row r="735" spans="1:24" ht="13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</row>
    <row r="736" spans="1:24" ht="13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</row>
    <row r="737" spans="1:24" ht="13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</row>
    <row r="738" spans="1:24" ht="13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</row>
    <row r="739" spans="1:24" ht="13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</row>
    <row r="740" spans="1:24" ht="13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</row>
    <row r="741" spans="1:24" ht="13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</row>
    <row r="742" spans="1:24" ht="13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</row>
    <row r="743" spans="1:24" ht="1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</row>
    <row r="744" spans="1:24" ht="13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</row>
    <row r="745" spans="1:24" ht="13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</row>
    <row r="746" spans="1:24" ht="13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</row>
    <row r="747" spans="1:24" ht="13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</row>
    <row r="748" spans="1:24" ht="13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</row>
    <row r="749" spans="1:24" ht="13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</row>
    <row r="750" spans="1:24" ht="13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</row>
    <row r="751" spans="1:24" ht="13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</row>
    <row r="752" spans="1:24" ht="13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</row>
    <row r="753" spans="1:24" ht="1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</row>
    <row r="754" spans="1:24" ht="13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</row>
    <row r="755" spans="1:24" ht="13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</row>
    <row r="756" spans="1:24" ht="13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</row>
    <row r="757" spans="1:24" ht="13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</row>
    <row r="758" spans="1:24" ht="13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</row>
    <row r="759" spans="1:24" ht="13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</row>
    <row r="760" spans="1:24" ht="13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</row>
    <row r="761" spans="1:24" ht="13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</row>
    <row r="762" spans="1:24" ht="13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</row>
    <row r="763" spans="1:24" ht="1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</row>
    <row r="764" spans="1:24" ht="13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</row>
    <row r="765" spans="1:24" ht="13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</row>
    <row r="766" spans="1:24" ht="13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</row>
    <row r="767" spans="1:24" ht="13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</row>
    <row r="768" spans="1:24" ht="13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</row>
    <row r="769" spans="1:24" ht="13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</row>
    <row r="770" spans="1:24" ht="13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</row>
    <row r="771" spans="1:24" ht="13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</row>
    <row r="772" spans="1:24" ht="13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</row>
    <row r="773" spans="1:24" ht="1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</row>
    <row r="774" spans="1:24" ht="13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</row>
    <row r="775" spans="1:24" ht="13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</row>
    <row r="776" spans="1:24" ht="13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</row>
    <row r="777" spans="1:24" ht="13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</row>
    <row r="778" spans="1:24" ht="13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</row>
    <row r="779" spans="1:24" ht="13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</row>
    <row r="780" spans="1:24" ht="13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</row>
    <row r="781" spans="1:24" ht="13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</row>
    <row r="782" spans="1:24" ht="13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</row>
    <row r="783" spans="1:24" ht="1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</row>
    <row r="784" spans="1:24" ht="13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</row>
    <row r="785" spans="1:24" ht="13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</row>
    <row r="786" spans="1:24" ht="13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</row>
    <row r="787" spans="1:24" ht="13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</row>
    <row r="788" spans="1:24" ht="13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</row>
    <row r="789" spans="1:24" ht="13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</row>
    <row r="790" spans="1:24" ht="13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</row>
    <row r="791" spans="1:24" ht="13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</row>
    <row r="792" spans="1:24" ht="13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</row>
    <row r="793" spans="1:24" ht="1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</row>
    <row r="794" spans="1:24" ht="13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</row>
    <row r="795" spans="1:24" ht="13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</row>
    <row r="796" spans="1:24" ht="13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</row>
    <row r="797" spans="1:24" ht="13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</row>
    <row r="798" spans="1:24" ht="13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</row>
    <row r="799" spans="1:24" ht="13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</row>
    <row r="800" spans="1:24" ht="13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</row>
    <row r="801" spans="1:24" ht="13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</row>
    <row r="802" spans="1:24" ht="13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</row>
    <row r="803" spans="1:24" ht="1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</row>
    <row r="804" spans="1:24" ht="13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</row>
    <row r="805" spans="1:24" ht="13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</row>
    <row r="806" spans="1:24" ht="13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</row>
    <row r="807" spans="1:24" ht="13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</row>
    <row r="808" spans="1:24" ht="13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</row>
    <row r="809" spans="1:24" ht="13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</row>
    <row r="810" spans="1:24" ht="13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</row>
    <row r="811" spans="1:24" ht="13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</row>
    <row r="812" spans="1:24" ht="13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</row>
    <row r="813" spans="1:24" ht="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</row>
    <row r="814" spans="1:24" ht="13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</row>
    <row r="815" spans="1:24" ht="13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</row>
    <row r="816" spans="1:24" ht="13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</row>
    <row r="817" spans="1:24" ht="13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</row>
    <row r="818" spans="1:24" ht="13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</row>
    <row r="819" spans="1:24" ht="13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</row>
    <row r="820" spans="1:24" ht="13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</row>
    <row r="821" spans="1:24" ht="13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</row>
    <row r="822" spans="1:24" ht="13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</row>
    <row r="823" spans="1:24" ht="1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</row>
    <row r="824" spans="1:24" ht="13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</row>
    <row r="825" spans="1:24" ht="13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</row>
    <row r="826" spans="1:24" ht="13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</row>
    <row r="827" spans="1:24" ht="13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</row>
    <row r="828" spans="1:24" ht="13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</row>
    <row r="829" spans="1:24" ht="13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</row>
    <row r="830" spans="1:24" ht="13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</row>
    <row r="831" spans="1:24" ht="13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</row>
    <row r="832" spans="1:24" ht="13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</row>
    <row r="833" spans="1:24" ht="1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</row>
    <row r="834" spans="1:24" ht="13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</row>
    <row r="835" spans="1:24" ht="13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</row>
    <row r="836" spans="1:24" ht="13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</row>
    <row r="837" spans="1:24" ht="13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</row>
    <row r="838" spans="1:24" ht="13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</row>
    <row r="839" spans="1:24" ht="13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</row>
    <row r="840" spans="1:24" ht="13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</row>
    <row r="841" spans="1:24" ht="13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</row>
    <row r="842" spans="1:24" ht="13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</row>
    <row r="843" spans="1:24" ht="1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</row>
    <row r="844" spans="1:24" ht="13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</row>
    <row r="845" spans="1:24" ht="13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</row>
    <row r="846" spans="1:24" ht="13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</row>
    <row r="847" spans="1:24" ht="13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</row>
    <row r="848" spans="1:24" ht="13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</row>
    <row r="849" spans="1:24" ht="13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</row>
    <row r="850" spans="1:24" ht="13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</row>
    <row r="851" spans="1:24" ht="13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</row>
    <row r="852" spans="1:24" ht="13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</row>
    <row r="853" spans="1:24" ht="1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</row>
    <row r="854" spans="1:24" ht="13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</row>
    <row r="855" spans="1:24" ht="13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</row>
    <row r="856" spans="1:24" ht="13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</row>
    <row r="857" spans="1:24" ht="13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</row>
    <row r="858" spans="1:24" ht="13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</row>
    <row r="859" spans="1:24" ht="13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</row>
    <row r="860" spans="1:24" ht="13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</row>
    <row r="861" spans="1:24" ht="13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</row>
    <row r="862" spans="1:24" ht="13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</row>
    <row r="863" spans="1:24" ht="1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</row>
    <row r="864" spans="1:24" ht="13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</row>
    <row r="865" spans="1:24" ht="13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</row>
    <row r="866" spans="1:24" ht="13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</row>
    <row r="867" spans="1:24" ht="13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</row>
    <row r="868" spans="1:24" ht="13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</row>
    <row r="869" spans="1:24" ht="13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</row>
    <row r="870" spans="1:24" ht="13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</row>
    <row r="871" spans="1:24" ht="13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</row>
    <row r="872" spans="1:24" ht="13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</row>
    <row r="873" spans="1:24" ht="1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</row>
    <row r="874" spans="1:24" ht="13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</row>
    <row r="875" spans="1:24" ht="13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</row>
    <row r="876" spans="1:24" ht="13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</row>
    <row r="877" spans="1:24" ht="13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</row>
    <row r="878" spans="1:24" ht="13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</row>
    <row r="879" spans="1:24" ht="13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</row>
    <row r="880" spans="1:24" ht="13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</row>
    <row r="881" spans="1:24" ht="13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</row>
    <row r="882" spans="1:24" ht="13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</row>
    <row r="883" spans="1:24" ht="1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</row>
    <row r="884" spans="1:24" ht="13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</row>
    <row r="885" spans="1:24" ht="13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</row>
    <row r="886" spans="1:24" ht="13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</row>
    <row r="887" spans="1:24" ht="13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</row>
    <row r="888" spans="1:24" ht="13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</row>
    <row r="889" spans="1:24" ht="13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</row>
    <row r="890" spans="1:24" ht="13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</row>
    <row r="891" spans="1:24" ht="13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</row>
    <row r="892" spans="1:24" ht="13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</row>
    <row r="893" spans="1:24" ht="1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</row>
    <row r="894" spans="1:24" ht="13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</row>
    <row r="895" spans="1:24" ht="13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</row>
    <row r="896" spans="1:24" ht="13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</row>
    <row r="897" spans="1:24" ht="13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</row>
    <row r="898" spans="1:24" ht="13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</row>
    <row r="899" spans="1:24" ht="13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</row>
    <row r="900" spans="1:24" ht="13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</row>
    <row r="901" spans="1:24" ht="13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</row>
    <row r="902" spans="1:24" ht="13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</row>
    <row r="903" spans="1:24" ht="1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</row>
    <row r="904" spans="1:24" ht="13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</row>
    <row r="905" spans="1:24" ht="13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</row>
    <row r="906" spans="1:24" ht="13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</row>
    <row r="907" spans="1:24" ht="13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</row>
    <row r="908" spans="1:24" ht="13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</row>
    <row r="909" spans="1:24" ht="13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</row>
    <row r="910" spans="1:24" ht="13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</row>
    <row r="911" spans="1:24" ht="13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</row>
    <row r="912" spans="1:24" ht="13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</row>
    <row r="913" spans="1:24" ht="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</row>
    <row r="914" spans="1:24" ht="13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</row>
    <row r="915" spans="1:24" ht="13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</row>
    <row r="916" spans="1:24" ht="13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</row>
    <row r="917" spans="1:24" ht="13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</row>
    <row r="918" spans="1:24" ht="13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</row>
    <row r="919" spans="1:24" ht="13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</row>
    <row r="920" spans="1:24" ht="13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</row>
    <row r="921" spans="1:24" ht="13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</row>
    <row r="922" spans="1:24" ht="13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</row>
    <row r="923" spans="1:24" ht="1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</row>
    <row r="924" spans="1:24" ht="13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</row>
    <row r="925" spans="1:24" ht="13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</row>
    <row r="926" spans="1:24" ht="13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</row>
    <row r="927" spans="1:24" ht="13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</row>
    <row r="928" spans="1:24" ht="13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</row>
    <row r="929" spans="1:24" ht="13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</row>
    <row r="930" spans="1:24" ht="13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</row>
    <row r="931" spans="1:24" ht="13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</row>
    <row r="932" spans="1:24" ht="13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</row>
    <row r="933" spans="1:24" ht="1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</row>
    <row r="934" spans="1:24" ht="13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</row>
    <row r="935" spans="1:24" ht="13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</row>
    <row r="936" spans="1:24" ht="13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</row>
    <row r="937" spans="1:24" ht="13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</row>
    <row r="938" spans="1:24" ht="13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</row>
    <row r="939" spans="1:24" ht="13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</row>
    <row r="940" spans="1:24" ht="13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</row>
    <row r="941" spans="1:24" ht="13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</row>
    <row r="942" spans="1:24" ht="13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</row>
    <row r="943" spans="1:24" ht="1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</row>
    <row r="944" spans="1:24" ht="13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</row>
    <row r="945" spans="1:24" ht="13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</row>
    <row r="946" spans="1:24" ht="13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</row>
    <row r="947" spans="1:24" ht="13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</row>
    <row r="948" spans="1:24" ht="13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</row>
    <row r="949" spans="1:24" ht="13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</row>
    <row r="950" spans="1:24" ht="13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</row>
    <row r="951" spans="1:24" ht="13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</row>
    <row r="952" spans="1:24" ht="13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</row>
    <row r="953" spans="1:24" ht="1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</row>
    <row r="954" spans="1:24" ht="13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</row>
    <row r="955" spans="1:24" ht="13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</row>
    <row r="956" spans="1:24" ht="13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</row>
    <row r="957" spans="1:24" ht="13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</row>
    <row r="958" spans="1:24" ht="13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</row>
    <row r="959" spans="1:24" ht="13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</row>
    <row r="960" spans="1:24" ht="13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</row>
    <row r="961" spans="1:24" ht="13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</row>
    <row r="962" spans="1:24" ht="13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</row>
    <row r="963" spans="1:24" ht="1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</row>
    <row r="964" spans="1:24" ht="13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</row>
    <row r="965" spans="1:24" ht="13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</row>
    <row r="966" spans="1:24" ht="13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</row>
    <row r="967" spans="1:24" ht="13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</row>
    <row r="968" spans="1:24" ht="13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</row>
    <row r="969" spans="1:24" ht="13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</row>
    <row r="970" spans="1:24" ht="13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11 P5:P11 R5:R11 N14:N15 P14:P15 R14:R15" xr:uid="{00000000-0002-0000-1400-000000000000}">
      <formula1>"High,Low,None"</formula1>
    </dataValidation>
    <dataValidation type="list" allowBlank="1" showErrorMessage="1" sqref="B5:B11 B14:B15" xr:uid="{00000000-0002-0000-1400-000001000000}">
      <formula1>"Spoofing ,Tampering,Repudiation,Information Disclosure,Denial of Service,Elevation of Privilage"</formula1>
    </dataValidation>
    <dataValidation type="list" allowBlank="1" showErrorMessage="1" sqref="L5:L11 L14:L15" xr:uid="{00000000-0002-0000-1400-000002000000}">
      <formula1>"Unchanged,Changed"</formula1>
    </dataValidation>
    <dataValidation type="list" allowBlank="1" showErrorMessage="1" sqref="F5:F11 F14:F15" xr:uid="{00000000-0002-0000-1400-000003000000}">
      <formula1>"Low,High"</formula1>
    </dataValidation>
    <dataValidation type="list" allowBlank="1" showErrorMessage="1" sqref="D5:D11 D14:D15" xr:uid="{00000000-0002-0000-1400-000004000000}">
      <formula1>"Network,Adjacent Network,Local,Physical"</formula1>
    </dataValidation>
    <dataValidation type="list" allowBlank="1" showErrorMessage="1" sqref="J5:J11 J14:J15" xr:uid="{00000000-0002-0000-1400-000005000000}">
      <formula1>"None,Required"</formula1>
    </dataValidation>
    <dataValidation type="list" allowBlank="1" showErrorMessage="1" sqref="A5:A11 A14:A15" xr:uid="{00000000-0002-0000-1400-000006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1 H14:H15" xr:uid="{00000000-0002-0000-1400-000007000000}">
      <formula1>"None,Low,High"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H13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9" si="0">IF(D5="Network",0.85,IF(D5="Adjacent Network",0.62,IF(D5="Local",0.55,IF(D5="Physical",0.2,0))))</f>
        <v>0.85</v>
      </c>
      <c r="F5" s="17" t="s">
        <v>39</v>
      </c>
      <c r="G5" s="29">
        <f>IF(F5="High",0.44,IF(F5="Low",0.77,0))</f>
        <v>0.44</v>
      </c>
      <c r="H5" s="17" t="s">
        <v>42</v>
      </c>
      <c r="I5" s="29">
        <f t="shared" ref="I5:I9" si="1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9" si="2">IF(J5="Required",0.62,IF(J5="None",0.85,0))</f>
        <v>0.62</v>
      </c>
      <c r="L5" s="17" t="s">
        <v>59</v>
      </c>
      <c r="M5" s="29">
        <f t="shared" ref="M5:M9" si="3">IF(L5="Changed",7.52,IF(L5="Unchanged",6.42,0))</f>
        <v>6.42</v>
      </c>
      <c r="N5" s="17" t="s">
        <v>42</v>
      </c>
      <c r="O5" s="17">
        <f t="shared" ref="O5:O9" si="4">IF(N5="High",0.56,IF(N5="Low",0.22,IF(N5="None",0,0)))</f>
        <v>0</v>
      </c>
      <c r="P5" s="17" t="s">
        <v>42</v>
      </c>
      <c r="Q5" s="17">
        <f t="shared" ref="Q5:Q9" si="5">IF(P5="High",0.56,IF(P5="Low",0.22,IF(P5="None",0,0)))</f>
        <v>0</v>
      </c>
      <c r="R5" s="17" t="s">
        <v>39</v>
      </c>
      <c r="S5" s="17">
        <f t="shared" ref="S5:S9" si="6">IF(R5="High",0.56,IF(R5="Low",0.22,IF(R5="None",0,0)))</f>
        <v>0.56000000000000005</v>
      </c>
      <c r="T5" s="20">
        <f t="shared" ref="T5:T9" si="7">IF(V5&lt;=0,0,IF(L5="Unchanged",MIN(W5+V5,10),MIN((W5+V5)*1.08,10)))</f>
        <v>5.2153455600000003</v>
      </c>
      <c r="U5" s="21">
        <f t="shared" ref="U5:U9" si="8">(1-((1-O5)*(1-Q5)*(1-S5)))</f>
        <v>0.56000000000000005</v>
      </c>
      <c r="V5" s="22">
        <f t="shared" ref="V5:V9" si="9">IF(L5="Unchanged",M5*U5,M5*(U5-0.029)-3.25*POWER(U5-0.02,15))</f>
        <v>3.5952000000000002</v>
      </c>
      <c r="W5" s="22">
        <f t="shared" ref="W5:W9" si="10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60</v>
      </c>
      <c r="B6" s="17" t="s">
        <v>36</v>
      </c>
      <c r="C6" s="91" t="s">
        <v>61</v>
      </c>
      <c r="D6" s="17" t="s">
        <v>38</v>
      </c>
      <c r="E6" s="29">
        <f t="shared" si="0"/>
        <v>0.85</v>
      </c>
      <c r="F6" s="17" t="s">
        <v>47</v>
      </c>
      <c r="G6" s="29">
        <f t="shared" ref="G6:G9" si="11">IF(F6="Low",0.77,IF(F6="High",0.44,0))</f>
        <v>0.77</v>
      </c>
      <c r="H6" s="17" t="s">
        <v>47</v>
      </c>
      <c r="I6" s="29">
        <f t="shared" si="1"/>
        <v>0.68</v>
      </c>
      <c r="J6" s="17" t="s">
        <v>40</v>
      </c>
      <c r="K6" s="29">
        <f t="shared" si="2"/>
        <v>0.62</v>
      </c>
      <c r="L6" s="17" t="s">
        <v>41</v>
      </c>
      <c r="M6" s="29">
        <f t="shared" si="3"/>
        <v>7.52</v>
      </c>
      <c r="N6" s="17" t="s">
        <v>39</v>
      </c>
      <c r="O6" s="17">
        <f t="shared" si="4"/>
        <v>0.56000000000000005</v>
      </c>
      <c r="P6" s="17" t="s">
        <v>39</v>
      </c>
      <c r="Q6" s="17">
        <f t="shared" si="5"/>
        <v>0.56000000000000005</v>
      </c>
      <c r="R6" s="17" t="s">
        <v>42</v>
      </c>
      <c r="S6" s="17">
        <f t="shared" si="6"/>
        <v>0</v>
      </c>
      <c r="T6" s="20">
        <f t="shared" si="7"/>
        <v>8.6679015319386874</v>
      </c>
      <c r="U6" s="21">
        <f t="shared" si="8"/>
        <v>0.80640000000000001</v>
      </c>
      <c r="V6" s="22">
        <f t="shared" si="9"/>
        <v>5.7576309677950803</v>
      </c>
      <c r="W6" s="22">
        <f t="shared" si="10"/>
        <v>2.2682037840000002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 ht="15.75" customHeight="1">
      <c r="A7" s="17" t="s">
        <v>62</v>
      </c>
      <c r="B7" s="17" t="s">
        <v>36</v>
      </c>
      <c r="C7" s="76"/>
      <c r="D7" s="17" t="s">
        <v>38</v>
      </c>
      <c r="E7" s="29">
        <f t="shared" si="0"/>
        <v>0.85</v>
      </c>
      <c r="F7" s="17" t="s">
        <v>47</v>
      </c>
      <c r="G7" s="29">
        <f t="shared" si="11"/>
        <v>0.77</v>
      </c>
      <c r="H7" s="17" t="s">
        <v>47</v>
      </c>
      <c r="I7" s="29">
        <f t="shared" si="1"/>
        <v>0.68</v>
      </c>
      <c r="J7" s="17" t="s">
        <v>40</v>
      </c>
      <c r="K7" s="29">
        <f t="shared" si="2"/>
        <v>0.62</v>
      </c>
      <c r="L7" s="17" t="s">
        <v>41</v>
      </c>
      <c r="M7" s="29">
        <f t="shared" si="3"/>
        <v>7.52</v>
      </c>
      <c r="N7" s="17" t="s">
        <v>39</v>
      </c>
      <c r="O7" s="17">
        <f t="shared" si="4"/>
        <v>0.56000000000000005</v>
      </c>
      <c r="P7" s="17" t="s">
        <v>39</v>
      </c>
      <c r="Q7" s="17">
        <f t="shared" si="5"/>
        <v>0.56000000000000005</v>
      </c>
      <c r="R7" s="17" t="s">
        <v>42</v>
      </c>
      <c r="S7" s="17">
        <f t="shared" si="6"/>
        <v>0</v>
      </c>
      <c r="T7" s="20">
        <f t="shared" si="7"/>
        <v>8.6679015319386874</v>
      </c>
      <c r="U7" s="21">
        <f t="shared" si="8"/>
        <v>0.80640000000000001</v>
      </c>
      <c r="V7" s="22">
        <f t="shared" si="9"/>
        <v>5.7576309677950803</v>
      </c>
      <c r="W7" s="22">
        <f t="shared" si="10"/>
        <v>2.2682037840000002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 ht="15.75" customHeight="1">
      <c r="A8" s="17" t="s">
        <v>43</v>
      </c>
      <c r="B8" s="17" t="s">
        <v>63</v>
      </c>
      <c r="C8" s="17" t="s">
        <v>64</v>
      </c>
      <c r="D8" s="17" t="s">
        <v>38</v>
      </c>
      <c r="E8" s="29">
        <f t="shared" si="0"/>
        <v>0.85</v>
      </c>
      <c r="F8" s="17" t="s">
        <v>39</v>
      </c>
      <c r="G8" s="29">
        <f t="shared" si="11"/>
        <v>0.44</v>
      </c>
      <c r="H8" s="17" t="s">
        <v>47</v>
      </c>
      <c r="I8" s="29">
        <f t="shared" si="1"/>
        <v>0.68</v>
      </c>
      <c r="J8" s="17" t="s">
        <v>40</v>
      </c>
      <c r="K8" s="29">
        <f t="shared" si="2"/>
        <v>0.62</v>
      </c>
      <c r="L8" s="17" t="s">
        <v>41</v>
      </c>
      <c r="M8" s="29">
        <f t="shared" si="3"/>
        <v>7.52</v>
      </c>
      <c r="N8" s="17" t="s">
        <v>39</v>
      </c>
      <c r="O8" s="17">
        <f t="shared" si="4"/>
        <v>0.56000000000000005</v>
      </c>
      <c r="P8" s="17" t="s">
        <v>42</v>
      </c>
      <c r="Q8" s="17">
        <f t="shared" si="5"/>
        <v>0</v>
      </c>
      <c r="R8" s="17" t="s">
        <v>42</v>
      </c>
      <c r="S8" s="17">
        <f t="shared" si="6"/>
        <v>0</v>
      </c>
      <c r="T8" s="20">
        <f t="shared" si="7"/>
        <v>5.7120355715551225</v>
      </c>
      <c r="U8" s="21">
        <f t="shared" si="8"/>
        <v>0.56000000000000005</v>
      </c>
      <c r="V8" s="22">
        <f t="shared" si="9"/>
        <v>3.9928053775140029</v>
      </c>
      <c r="W8" s="22">
        <f t="shared" si="10"/>
        <v>1.2961164479999998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 ht="15.75" customHeight="1">
      <c r="A9" s="17" t="s">
        <v>34</v>
      </c>
      <c r="B9" s="17" t="s">
        <v>44</v>
      </c>
      <c r="C9" s="28" t="s">
        <v>55</v>
      </c>
      <c r="D9" s="17" t="s">
        <v>38</v>
      </c>
      <c r="E9" s="29">
        <f t="shared" si="0"/>
        <v>0.85</v>
      </c>
      <c r="F9" s="17" t="s">
        <v>39</v>
      </c>
      <c r="G9" s="29">
        <f t="shared" si="11"/>
        <v>0.44</v>
      </c>
      <c r="H9" s="17" t="s">
        <v>47</v>
      </c>
      <c r="I9" s="29">
        <f t="shared" si="1"/>
        <v>0.68</v>
      </c>
      <c r="J9" s="17" t="s">
        <v>40</v>
      </c>
      <c r="K9" s="29">
        <f t="shared" si="2"/>
        <v>0.62</v>
      </c>
      <c r="L9" s="17" t="s">
        <v>41</v>
      </c>
      <c r="M9" s="29">
        <f t="shared" si="3"/>
        <v>7.52</v>
      </c>
      <c r="N9" s="17" t="s">
        <v>39</v>
      </c>
      <c r="O9" s="17">
        <f t="shared" si="4"/>
        <v>0.56000000000000005</v>
      </c>
      <c r="P9" s="17" t="s">
        <v>42</v>
      </c>
      <c r="Q9" s="17">
        <f t="shared" si="5"/>
        <v>0</v>
      </c>
      <c r="R9" s="17" t="s">
        <v>42</v>
      </c>
      <c r="S9" s="17">
        <f t="shared" si="6"/>
        <v>0</v>
      </c>
      <c r="T9" s="20">
        <f t="shared" si="7"/>
        <v>5.7120355715551225</v>
      </c>
      <c r="U9" s="21">
        <f t="shared" si="8"/>
        <v>0.56000000000000005</v>
      </c>
      <c r="V9" s="22">
        <f t="shared" si="9"/>
        <v>3.9928053775140029</v>
      </c>
      <c r="W9" s="22">
        <f t="shared" si="10"/>
        <v>1.2961164479999998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 ht="15.75" customHeight="1">
      <c r="T10" s="63">
        <f>SUM(T5:T9)</f>
        <v>33.975219766987621</v>
      </c>
    </row>
    <row r="11" spans="1:34" ht="15.75" customHeight="1">
      <c r="A11" s="64" t="s">
        <v>120</v>
      </c>
    </row>
    <row r="12" spans="1:34">
      <c r="A12" s="17" t="s">
        <v>83</v>
      </c>
      <c r="B12" s="24" t="s">
        <v>140</v>
      </c>
      <c r="C12" s="24" t="s">
        <v>63</v>
      </c>
      <c r="D12" s="17" t="s">
        <v>38</v>
      </c>
      <c r="E12" s="29">
        <f>IF(D12="Network",0.85,IF(D12="Adjacent Network",0.62,IF(D12="Local",0.55,IF(D12="Physical",0.2,0))))</f>
        <v>0.85</v>
      </c>
      <c r="F12" s="17" t="s">
        <v>39</v>
      </c>
      <c r="G12" s="29">
        <f>IF(F12="Low",0.77,IF(F12="High",0.44,0))</f>
        <v>0.44</v>
      </c>
      <c r="H12" s="17" t="s">
        <v>39</v>
      </c>
      <c r="I12" s="29">
        <f>IF(H12="None",0.85,IF(AND(H12="Low",L12="Unchanged"),0.62,IF(AND(H12="Low",L12="Changed"),0.68,IF(AND(H12="High",L12="Changed"),0.5,IF(AND(H12="High",L12="Unchanged"),0.27,0)))))</f>
        <v>0.5</v>
      </c>
      <c r="J12" s="17" t="s">
        <v>40</v>
      </c>
      <c r="K12" s="29">
        <f>IF(J12="Required",0.62,IF(J12="None",0.85,0))</f>
        <v>0.62</v>
      </c>
      <c r="L12" s="17" t="s">
        <v>41</v>
      </c>
      <c r="M12" s="29">
        <f>IF(L12="Changed",7.52,IF(L12="Unchanged",6.42,0))</f>
        <v>7.52</v>
      </c>
      <c r="N12" s="17" t="s">
        <v>39</v>
      </c>
      <c r="O12" s="17">
        <f>IF(N12="High",0.56,IF(N12="Low",0.22,IF(N12="None",0,0)))</f>
        <v>0.56000000000000005</v>
      </c>
      <c r="P12" s="17" t="s">
        <v>42</v>
      </c>
      <c r="Q12" s="17">
        <f>IF(P12="High",0.56,IF(P12="Low",0.22,IF(P12="None",0,0)))</f>
        <v>0</v>
      </c>
      <c r="R12" s="17" t="s">
        <v>42</v>
      </c>
      <c r="S12" s="17">
        <f>IF(R12="High",0.56,IF(R12="Low",0.22,IF(R12="None",0,0)))</f>
        <v>0</v>
      </c>
      <c r="T12" s="20">
        <f>IF(V12&lt;=0,0,IF(L12="Unchanged",MIN(W12+V12,10),MIN((W12+V12)*1.08,10)))</f>
        <v>5.3414987517151236</v>
      </c>
      <c r="U12" s="21">
        <f>(1-((1-O12)*(1-Q12)*(1-S12)))</f>
        <v>0.56000000000000005</v>
      </c>
      <c r="V12" s="22">
        <f>IF(L12="Unchanged",M12*U12,M12*(U12-0.029)-3.25*POWER(U12-0.02,15))</f>
        <v>3.9928053775140029</v>
      </c>
      <c r="W12" s="22">
        <f>8.22*E12*G12*I12*K12</f>
        <v>0.95302679999999995</v>
      </c>
      <c r="X12" s="65"/>
      <c r="Y12" s="3"/>
      <c r="Z12" s="3"/>
      <c r="AA12" s="3"/>
      <c r="AB12" s="3"/>
      <c r="AC12" s="3"/>
      <c r="AD12" s="3"/>
      <c r="AE12" s="3"/>
      <c r="AF12" s="3"/>
      <c r="AG12" s="3"/>
    </row>
    <row r="13" spans="1:34" ht="15.75" customHeight="1">
      <c r="T13" s="20">
        <v>5.3</v>
      </c>
    </row>
  </sheetData>
  <mergeCells count="7">
    <mergeCell ref="C6:C7"/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9 P5:P9 R5:R9 N12 P12 R12" xr:uid="{00000000-0002-0000-1500-000000000000}">
      <formula1>"High,Low,None"</formula1>
    </dataValidation>
    <dataValidation type="list" allowBlank="1" showErrorMessage="1" sqref="B5:B9 C12" xr:uid="{00000000-0002-0000-1500-000001000000}">
      <formula1>"Spoofing ,Tampering,Repudiation,Information Disclosure,Denial of Service,Elevation of Privilage"</formula1>
    </dataValidation>
    <dataValidation type="list" allowBlank="1" showErrorMessage="1" sqref="L5:L9 L12" xr:uid="{00000000-0002-0000-1500-000002000000}">
      <formula1>"Unchanged,Changed"</formula1>
    </dataValidation>
    <dataValidation type="list" allowBlank="1" showErrorMessage="1" sqref="F5:F9 F12" xr:uid="{00000000-0002-0000-1500-000003000000}">
      <formula1>"Low,High"</formula1>
    </dataValidation>
    <dataValidation type="list" allowBlank="1" showErrorMessage="1" sqref="D5:D9 D12" xr:uid="{00000000-0002-0000-1500-000004000000}">
      <formula1>"Network,Adjacent Network,Local,Physical"</formula1>
    </dataValidation>
    <dataValidation type="list" allowBlank="1" showErrorMessage="1" sqref="B12" xr:uid="{00000000-0002-0000-1500-000005000000}">
      <formula1>"Actor,Data Flow,Processing"</formula1>
    </dataValidation>
    <dataValidation type="list" allowBlank="1" showErrorMessage="1" sqref="J5:J9 J12" xr:uid="{00000000-0002-0000-1500-000006000000}">
      <formula1>"None,Required"</formula1>
    </dataValidation>
    <dataValidation type="list" allowBlank="1" showErrorMessage="1" sqref="A5:A9 A12" xr:uid="{00000000-0002-0000-15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9 H12" xr:uid="{00000000-0002-0000-1500-000008000000}">
      <formula1>"None,Low,High"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0.3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51</v>
      </c>
      <c r="C5" s="45" t="s">
        <v>141</v>
      </c>
      <c r="D5" s="19" t="s">
        <v>38</v>
      </c>
      <c r="E5" s="18">
        <f t="shared" ref="E5:E15" si="0">IF(D5="Network",0.85,IF(D5="Adjacent Network",0.62,IF(D5="Local",0.55,IF(D5="Physical",0.2,0))))</f>
        <v>0.85</v>
      </c>
      <c r="F5" s="19" t="s">
        <v>47</v>
      </c>
      <c r="G5" s="18">
        <f t="shared" ref="G5:G6" si="1">IF(F5="Low",0.77,IF(F5="High",0.44,0))</f>
        <v>0.77</v>
      </c>
      <c r="H5" s="19" t="s">
        <v>39</v>
      </c>
      <c r="I5" s="18">
        <f t="shared" ref="I5:I15" si="2">IF(H5="None",0.85,IF(AND(H5="Low",L5="Unchanged"),0.62,IF(AND(H5="Low",L5="Changed"),0.68,IF(AND(H5="High",L5="Changed"),0.5,IF(AND(H5="High",L5="Unchanged"),0.27,0)))))</f>
        <v>0.27</v>
      </c>
      <c r="J5" s="19" t="s">
        <v>42</v>
      </c>
      <c r="K5" s="18">
        <f t="shared" ref="K5:K15" si="3">IF(J5="Required",0.62,IF(J5="None",0.85,0))</f>
        <v>0.85</v>
      </c>
      <c r="L5" s="19" t="s">
        <v>59</v>
      </c>
      <c r="M5" s="18">
        <f t="shared" ref="M5:M15" si="4">IF(L5="Changed",7.52,IF(L5="Unchanged",6.42,0))</f>
        <v>6.42</v>
      </c>
      <c r="N5" s="19" t="s">
        <v>39</v>
      </c>
      <c r="O5" s="19">
        <f t="shared" ref="O5:O15" si="5">IF(N5="High",0.56,IF(N5="Low",0.22,IF(N5="None",0,0)))</f>
        <v>0.56000000000000005</v>
      </c>
      <c r="P5" s="19" t="s">
        <v>42</v>
      </c>
      <c r="Q5" s="19">
        <f t="shared" ref="Q5:Q15" si="6">IF(P5="High",0.56,IF(P5="Low",0.22,IF(P5="None",0,0)))</f>
        <v>0</v>
      </c>
      <c r="R5" s="19" t="s">
        <v>42</v>
      </c>
      <c r="S5" s="19">
        <f t="shared" ref="S5:S15" si="7">IF(R5="High",0.56,IF(R5="Low",0.22,IF(R5="None",0,0)))</f>
        <v>0</v>
      </c>
      <c r="T5" s="20">
        <f t="shared" ref="T5:T15" si="8">IF(V5&lt;=0,0,IF(L5="Unchanged",MIN(W5+V5,10),MIN((W5+V5)*1.08,10)))</f>
        <v>4.8299077050000001</v>
      </c>
      <c r="U5" s="21">
        <f t="shared" ref="U5:U15" si="9">(1-((1-O5)*(1-Q5)*(1-S5)))</f>
        <v>0.56000000000000005</v>
      </c>
      <c r="V5" s="22">
        <f t="shared" ref="V5:V15" si="10">IF(L5="Unchanged",M5*U5,M5*(U5-0.029)-3.25*POWER(U5-0.02,15))</f>
        <v>3.5952000000000002</v>
      </c>
      <c r="W5" s="22">
        <f t="shared" ref="W5:W15" si="11">8.22*E5*G5*I5*K5</f>
        <v>1.2347077050000002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43</v>
      </c>
      <c r="B6" s="19" t="s">
        <v>36</v>
      </c>
      <c r="C6" s="27" t="s">
        <v>99</v>
      </c>
      <c r="D6" s="19" t="s">
        <v>46</v>
      </c>
      <c r="E6" s="18">
        <f t="shared" si="0"/>
        <v>0.62</v>
      </c>
      <c r="F6" s="19" t="s">
        <v>39</v>
      </c>
      <c r="G6" s="18">
        <f t="shared" si="1"/>
        <v>0.44</v>
      </c>
      <c r="H6" s="19" t="s">
        <v>42</v>
      </c>
      <c r="I6" s="18">
        <f t="shared" si="2"/>
        <v>0.85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7.4945349357786872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1.1817532319999999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56</v>
      </c>
      <c r="B7" s="17" t="s">
        <v>57</v>
      </c>
      <c r="C7" s="28" t="s">
        <v>58</v>
      </c>
      <c r="D7" s="17" t="s">
        <v>38</v>
      </c>
      <c r="E7" s="29">
        <f t="shared" si="0"/>
        <v>0.85</v>
      </c>
      <c r="F7" s="17" t="s">
        <v>39</v>
      </c>
      <c r="G7" s="29">
        <f>IF(F7="High",0.44,IF(F7="Low",0.77,0))</f>
        <v>0.44</v>
      </c>
      <c r="H7" s="17" t="s">
        <v>42</v>
      </c>
      <c r="I7" s="29">
        <f t="shared" si="2"/>
        <v>0.85</v>
      </c>
      <c r="J7" s="17" t="s">
        <v>40</v>
      </c>
      <c r="K7" s="29">
        <f t="shared" si="3"/>
        <v>0.62</v>
      </c>
      <c r="L7" s="17" t="s">
        <v>59</v>
      </c>
      <c r="M7" s="29">
        <f t="shared" si="4"/>
        <v>6.42</v>
      </c>
      <c r="N7" s="17" t="s">
        <v>42</v>
      </c>
      <c r="O7" s="17">
        <f t="shared" si="5"/>
        <v>0</v>
      </c>
      <c r="P7" s="17" t="s">
        <v>42</v>
      </c>
      <c r="Q7" s="17">
        <f t="shared" si="6"/>
        <v>0</v>
      </c>
      <c r="R7" s="17" t="s">
        <v>39</v>
      </c>
      <c r="S7" s="17">
        <f t="shared" si="7"/>
        <v>0.56000000000000005</v>
      </c>
      <c r="T7" s="20">
        <f t="shared" si="8"/>
        <v>5.2153455600000003</v>
      </c>
      <c r="U7" s="21">
        <f t="shared" si="9"/>
        <v>0.56000000000000005</v>
      </c>
      <c r="V7" s="22">
        <f t="shared" si="10"/>
        <v>3.5952000000000002</v>
      </c>
      <c r="W7" s="22">
        <f t="shared" si="11"/>
        <v>1.6201455599999999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48</v>
      </c>
      <c r="B8" s="19" t="s">
        <v>51</v>
      </c>
      <c r="C8" s="19" t="s">
        <v>106</v>
      </c>
      <c r="D8" s="19" t="s">
        <v>38</v>
      </c>
      <c r="E8" s="18">
        <f t="shared" si="0"/>
        <v>0.85</v>
      </c>
      <c r="F8" s="19" t="s">
        <v>47</v>
      </c>
      <c r="G8" s="18">
        <f>IF(F8="Low",0.77,IF(F8="High",0.44,0))</f>
        <v>0.77</v>
      </c>
      <c r="H8" s="19" t="s">
        <v>42</v>
      </c>
      <c r="I8" s="18">
        <f t="shared" si="2"/>
        <v>0.85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39</v>
      </c>
      <c r="S8" s="19">
        <f t="shared" si="7"/>
        <v>0.56000000000000005</v>
      </c>
      <c r="T8" s="20">
        <f t="shared" si="8"/>
        <v>9.760161495000002</v>
      </c>
      <c r="U8" s="21">
        <f t="shared" si="9"/>
        <v>0.91481600000000007</v>
      </c>
      <c r="V8" s="22">
        <f t="shared" si="10"/>
        <v>5.8731187200000008</v>
      </c>
      <c r="W8" s="22">
        <f t="shared" si="11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.75" customHeight="1">
      <c r="A9" s="17" t="s">
        <v>56</v>
      </c>
      <c r="B9" s="17" t="s">
        <v>57</v>
      </c>
      <c r="C9" s="28" t="s">
        <v>58</v>
      </c>
      <c r="D9" s="17" t="s">
        <v>38</v>
      </c>
      <c r="E9" s="29">
        <f t="shared" si="0"/>
        <v>0.85</v>
      </c>
      <c r="F9" s="17" t="s">
        <v>39</v>
      </c>
      <c r="G9" s="29">
        <f>IF(F9="High",0.44,IF(F9="Low",0.77,0))</f>
        <v>0.44</v>
      </c>
      <c r="H9" s="17" t="s">
        <v>42</v>
      </c>
      <c r="I9" s="29">
        <f t="shared" si="2"/>
        <v>0.85</v>
      </c>
      <c r="J9" s="17" t="s">
        <v>40</v>
      </c>
      <c r="K9" s="29">
        <f t="shared" si="3"/>
        <v>0.62</v>
      </c>
      <c r="L9" s="17" t="s">
        <v>59</v>
      </c>
      <c r="M9" s="29">
        <f t="shared" si="4"/>
        <v>6.42</v>
      </c>
      <c r="N9" s="17" t="s">
        <v>42</v>
      </c>
      <c r="O9" s="17">
        <f t="shared" si="5"/>
        <v>0</v>
      </c>
      <c r="P9" s="17" t="s">
        <v>42</v>
      </c>
      <c r="Q9" s="17">
        <f t="shared" si="6"/>
        <v>0</v>
      </c>
      <c r="R9" s="17" t="s">
        <v>39</v>
      </c>
      <c r="S9" s="17">
        <f t="shared" si="7"/>
        <v>0.56000000000000005</v>
      </c>
      <c r="T9" s="20">
        <f t="shared" si="8"/>
        <v>5.2153455600000003</v>
      </c>
      <c r="U9" s="21">
        <f t="shared" si="9"/>
        <v>0.56000000000000005</v>
      </c>
      <c r="V9" s="22">
        <f t="shared" si="10"/>
        <v>3.5952000000000002</v>
      </c>
      <c r="W9" s="22">
        <f t="shared" si="11"/>
        <v>1.6201455599999999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 ht="15.75" customHeight="1">
      <c r="A10" s="17" t="s">
        <v>43</v>
      </c>
      <c r="B10" s="17" t="s">
        <v>63</v>
      </c>
      <c r="C10" s="28" t="s">
        <v>64</v>
      </c>
      <c r="D10" s="17" t="s">
        <v>38</v>
      </c>
      <c r="E10" s="29">
        <f t="shared" si="0"/>
        <v>0.85</v>
      </c>
      <c r="F10" s="17" t="s">
        <v>39</v>
      </c>
      <c r="G10" s="29">
        <f t="shared" ref="G10:G15" si="12">IF(F10="Low",0.77,IF(F10="High",0.44,0))</f>
        <v>0.44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5.7120355715551225</v>
      </c>
      <c r="U10" s="21">
        <f t="shared" si="9"/>
        <v>0.56000000000000005</v>
      </c>
      <c r="V10" s="22">
        <f t="shared" si="10"/>
        <v>3.9928053775140029</v>
      </c>
      <c r="W10" s="22">
        <f t="shared" si="11"/>
        <v>1.2961164479999998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50</v>
      </c>
      <c r="B11" s="19" t="s">
        <v>51</v>
      </c>
      <c r="C11" s="27" t="s">
        <v>52</v>
      </c>
      <c r="D11" s="19" t="s">
        <v>38</v>
      </c>
      <c r="E11" s="18">
        <f t="shared" si="0"/>
        <v>0.85</v>
      </c>
      <c r="F11" s="19" t="s">
        <v>39</v>
      </c>
      <c r="G11" s="18">
        <f t="shared" si="12"/>
        <v>0.44</v>
      </c>
      <c r="H11" s="19" t="s">
        <v>47</v>
      </c>
      <c r="I11" s="18">
        <f t="shared" si="2"/>
        <v>0.68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7.6180472090586866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1.2961164479999998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50</v>
      </c>
      <c r="B12" s="19" t="s">
        <v>36</v>
      </c>
      <c r="C12" s="27" t="s">
        <v>96</v>
      </c>
      <c r="D12" s="19" t="s">
        <v>38</v>
      </c>
      <c r="E12" s="18">
        <f t="shared" si="0"/>
        <v>0.85</v>
      </c>
      <c r="F12" s="19" t="s">
        <v>47</v>
      </c>
      <c r="G12" s="18">
        <f t="shared" si="12"/>
        <v>0.77</v>
      </c>
      <c r="H12" s="19" t="s">
        <v>42</v>
      </c>
      <c r="I12" s="18">
        <f t="shared" si="2"/>
        <v>0.85</v>
      </c>
      <c r="J12" s="19" t="s">
        <v>42</v>
      </c>
      <c r="K12" s="18">
        <f t="shared" si="3"/>
        <v>0.85</v>
      </c>
      <c r="L12" s="19" t="s">
        <v>59</v>
      </c>
      <c r="M12" s="18">
        <f t="shared" si="4"/>
        <v>6.42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9.0641307750000006</v>
      </c>
      <c r="U12" s="21">
        <f t="shared" si="9"/>
        <v>0.80640000000000001</v>
      </c>
      <c r="V12" s="22">
        <f t="shared" si="10"/>
        <v>5.1770880000000004</v>
      </c>
      <c r="W12" s="22">
        <f t="shared" si="11"/>
        <v>3.8870427750000003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97</v>
      </c>
      <c r="B13" s="19" t="s">
        <v>73</v>
      </c>
      <c r="C13" s="27" t="s">
        <v>98</v>
      </c>
      <c r="D13" s="19" t="s">
        <v>66</v>
      </c>
      <c r="E13" s="18">
        <f t="shared" si="0"/>
        <v>0.55000000000000004</v>
      </c>
      <c r="F13" s="19" t="s">
        <v>47</v>
      </c>
      <c r="G13" s="18">
        <f t="shared" si="12"/>
        <v>0.77</v>
      </c>
      <c r="H13" s="19" t="s">
        <v>39</v>
      </c>
      <c r="I13" s="18">
        <f t="shared" si="2"/>
        <v>0.27</v>
      </c>
      <c r="J13" s="19" t="s">
        <v>42</v>
      </c>
      <c r="K13" s="18">
        <f t="shared" si="3"/>
        <v>0.85</v>
      </c>
      <c r="L13" s="19" t="s">
        <v>59</v>
      </c>
      <c r="M13" s="18">
        <f t="shared" si="4"/>
        <v>6.42</v>
      </c>
      <c r="N13" s="19" t="s">
        <v>47</v>
      </c>
      <c r="O13" s="19">
        <f t="shared" si="5"/>
        <v>0.22</v>
      </c>
      <c r="P13" s="19" t="s">
        <v>39</v>
      </c>
      <c r="Q13" s="19">
        <f t="shared" si="6"/>
        <v>0.56000000000000005</v>
      </c>
      <c r="R13" s="19" t="s">
        <v>47</v>
      </c>
      <c r="S13" s="19">
        <f t="shared" si="7"/>
        <v>0.22</v>
      </c>
      <c r="T13" s="20">
        <f t="shared" si="8"/>
        <v>5.5003201950000005</v>
      </c>
      <c r="U13" s="21">
        <f t="shared" si="9"/>
        <v>0.73230400000000007</v>
      </c>
      <c r="V13" s="22">
        <f t="shared" si="10"/>
        <v>4.7013916800000004</v>
      </c>
      <c r="W13" s="22">
        <f t="shared" si="11"/>
        <v>0.79892851500000017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 t="s">
        <v>104</v>
      </c>
      <c r="B14" s="19" t="s">
        <v>51</v>
      </c>
      <c r="C14" s="19" t="s">
        <v>105</v>
      </c>
      <c r="D14" s="19" t="s">
        <v>38</v>
      </c>
      <c r="E14" s="18">
        <f t="shared" si="0"/>
        <v>0.85</v>
      </c>
      <c r="F14" s="19" t="s">
        <v>47</v>
      </c>
      <c r="G14" s="18">
        <f t="shared" si="12"/>
        <v>0.77</v>
      </c>
      <c r="H14" s="19" t="s">
        <v>47</v>
      </c>
      <c r="I14" s="18">
        <f t="shared" si="2"/>
        <v>0.62</v>
      </c>
      <c r="J14" s="19" t="s">
        <v>42</v>
      </c>
      <c r="K14" s="18">
        <f t="shared" si="3"/>
        <v>0.85</v>
      </c>
      <c r="L14" s="19" t="s">
        <v>59</v>
      </c>
      <c r="M14" s="18">
        <f t="shared" si="4"/>
        <v>6.42</v>
      </c>
      <c r="N14" s="19" t="s">
        <v>39</v>
      </c>
      <c r="O14" s="19">
        <f t="shared" si="5"/>
        <v>0.56000000000000005</v>
      </c>
      <c r="P14" s="19" t="s">
        <v>39</v>
      </c>
      <c r="Q14" s="19">
        <f t="shared" si="6"/>
        <v>0.56000000000000005</v>
      </c>
      <c r="R14" s="19" t="s">
        <v>42</v>
      </c>
      <c r="S14" s="19">
        <f t="shared" si="7"/>
        <v>0</v>
      </c>
      <c r="T14" s="20">
        <f t="shared" si="8"/>
        <v>8.0123427300000003</v>
      </c>
      <c r="U14" s="21">
        <f t="shared" si="9"/>
        <v>0.80640000000000001</v>
      </c>
      <c r="V14" s="22">
        <f t="shared" si="10"/>
        <v>5.1770880000000004</v>
      </c>
      <c r="W14" s="22">
        <f t="shared" si="11"/>
        <v>2.8352547299999999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35</v>
      </c>
      <c r="B15" s="19" t="s">
        <v>51</v>
      </c>
      <c r="C15" s="27" t="s">
        <v>87</v>
      </c>
      <c r="D15" s="19" t="s">
        <v>38</v>
      </c>
      <c r="E15" s="18">
        <f t="shared" si="0"/>
        <v>0.85</v>
      </c>
      <c r="F15" s="19" t="s">
        <v>39</v>
      </c>
      <c r="G15" s="18">
        <f t="shared" si="12"/>
        <v>0.44</v>
      </c>
      <c r="H15" s="19" t="s">
        <v>39</v>
      </c>
      <c r="I15" s="18">
        <f t="shared" si="2"/>
        <v>0.27</v>
      </c>
      <c r="J15" s="19" t="s">
        <v>42</v>
      </c>
      <c r="K15" s="18">
        <f t="shared" si="3"/>
        <v>0.85</v>
      </c>
      <c r="L15" s="19" t="s">
        <v>59</v>
      </c>
      <c r="M15" s="18">
        <f t="shared" si="4"/>
        <v>6.42</v>
      </c>
      <c r="N15" s="19" t="s">
        <v>39</v>
      </c>
      <c r="O15" s="19">
        <f t="shared" si="5"/>
        <v>0.56000000000000005</v>
      </c>
      <c r="P15" s="19" t="s">
        <v>42</v>
      </c>
      <c r="Q15" s="19">
        <f t="shared" si="6"/>
        <v>0</v>
      </c>
      <c r="R15" s="19" t="s">
        <v>42</v>
      </c>
      <c r="S15" s="19">
        <f t="shared" si="7"/>
        <v>0</v>
      </c>
      <c r="T15" s="20">
        <f t="shared" si="8"/>
        <v>4.3007472600000005</v>
      </c>
      <c r="U15" s="21">
        <f t="shared" si="9"/>
        <v>0.56000000000000005</v>
      </c>
      <c r="V15" s="22">
        <f t="shared" si="10"/>
        <v>3.5952000000000002</v>
      </c>
      <c r="W15" s="22">
        <f t="shared" si="11"/>
        <v>0.70554726000000001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>
        <f>SUM(T5:T15)</f>
        <v>72.722918996392494</v>
      </c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7 A9" xr:uid="{00000000-0002-0000-16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5 P5:P15 R5:R15" xr:uid="{00000000-0002-0000-1600-000001000000}">
      <formula1>"High,Low,None"</formula1>
    </dataValidation>
    <dataValidation type="list" allowBlank="1" showErrorMessage="1" sqref="B5:B15" xr:uid="{00000000-0002-0000-1600-000002000000}">
      <formula1>"Spoofing ,Tampering,Repudiation,Information Disclosure,Denial of Service,Elevation of Privilage"</formula1>
    </dataValidation>
    <dataValidation type="list" allowBlank="1" showErrorMessage="1" sqref="L5:L15" xr:uid="{00000000-0002-0000-1600-000003000000}">
      <formula1>"Unchanged,Changed"</formula1>
    </dataValidation>
    <dataValidation type="list" allowBlank="1" showErrorMessage="1" sqref="F5:F15" xr:uid="{00000000-0002-0000-1600-000004000000}">
      <formula1>"Low,High"</formula1>
    </dataValidation>
    <dataValidation type="list" allowBlank="1" showErrorMessage="1" sqref="D5:D15" xr:uid="{00000000-0002-0000-1600-000005000000}">
      <formula1>"Network,Adjacent Network,Local,Physical"</formula1>
    </dataValidation>
    <dataValidation type="list" allowBlank="1" showErrorMessage="1" sqref="A5:A6 A8 A12:A15" xr:uid="{00000000-0002-0000-16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5" xr:uid="{00000000-0002-0000-1600-000007000000}">
      <formula1>"None,Required"</formula1>
    </dataValidation>
    <dataValidation type="list" allowBlank="1" showErrorMessage="1" sqref="H5:H15" xr:uid="{00000000-0002-0000-1600-000008000000}">
      <formula1>"None,Low,High"</formula1>
    </dataValidation>
    <dataValidation type="list" allowBlank="1" showErrorMessage="1" sqref="A10:A11" xr:uid="{00000000-0002-0000-16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G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3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3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3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3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3">
      <c r="A5" s="17"/>
      <c r="B5" s="18"/>
      <c r="C5" s="18"/>
      <c r="D5" s="19"/>
      <c r="E5" s="18">
        <f t="shared" ref="E5:E41" si="0">IF(D5="Network",0.85,IF(D5="Adjacent Network",0.62,IF(D5="Local",0.55,IF(D5="Physical",0.2,0))))</f>
        <v>0</v>
      </c>
      <c r="F5" s="19"/>
      <c r="G5" s="18">
        <f>IF(F5="High",0.44,IF(F5="Low",0.77,0))</f>
        <v>0</v>
      </c>
      <c r="H5" s="19"/>
      <c r="I5" s="18">
        <f t="shared" ref="I5:I41" si="1">IF(H5="None",0.85,IF(AND(H5="Low",L5="Unchanged"),0.62,IF(AND(H5="Low",L5="Changed"),0.68,IF(AND(H5="High",L5="Changed"),0.5,IF(AND(H5="High",L5="Unchanged"),0.27,0)))))</f>
        <v>0</v>
      </c>
      <c r="J5" s="19"/>
      <c r="K5" s="18">
        <f t="shared" ref="K5:K41" si="2">IF(J5="Required",0.62,IF(J5="None",0.85,0))</f>
        <v>0</v>
      </c>
      <c r="L5" s="19"/>
      <c r="M5" s="18">
        <f t="shared" ref="M5:M41" si="3">IF(L5="Changed",7.52,IF(L5="Unchanged",6.42,0))</f>
        <v>0</v>
      </c>
      <c r="N5" s="19"/>
      <c r="O5" s="19">
        <f t="shared" ref="O5:O41" si="4">IF(N5="High",0.56,IF(N5="Low",0.22,IF(N5="None",0,0)))</f>
        <v>0</v>
      </c>
      <c r="P5" s="19"/>
      <c r="Q5" s="19">
        <f t="shared" ref="Q5:Q41" si="5">IF(P5="High",0.56,IF(P5="Low",0.22,IF(P5="None",0,0)))</f>
        <v>0</v>
      </c>
      <c r="R5" s="19"/>
      <c r="S5" s="19">
        <f t="shared" ref="S5:S41" si="6">IF(R5="High",0.56,IF(R5="Low",0.22,IF(R5="None",0,0)))</f>
        <v>0</v>
      </c>
      <c r="T5" s="20">
        <f t="shared" ref="T5:T41" si="7">IF(V5&lt;=0,0,IF(L5="Unchanged",MIN(W5+V5,10),MIN((W5+V5)*1.08,10)))</f>
        <v>1.1501568000000004E-25</v>
      </c>
      <c r="U5" s="21">
        <f t="shared" ref="U5:U41" si="8">(1-((1-O5)*(1-Q5)*(1-S5)))</f>
        <v>0</v>
      </c>
      <c r="V5" s="22">
        <f t="shared" ref="V5:V41" si="9">IF(L5="Unchanged",M5*U5,M5*(U5-0.029)-3.25*POWER(U5-0.02,15))</f>
        <v>1.0649600000000003E-25</v>
      </c>
      <c r="W5" s="22">
        <f t="shared" ref="W5:W41" si="10">8.22*E5*G5*I5*K5</f>
        <v>0</v>
      </c>
      <c r="X5" s="18"/>
      <c r="Y5" s="18"/>
      <c r="Z5" s="18"/>
      <c r="AA5" s="18"/>
      <c r="AB5" s="18"/>
      <c r="AC5" s="18"/>
      <c r="AD5" s="18"/>
      <c r="AE5" s="18"/>
      <c r="AF5" s="18"/>
      <c r="AG5" s="23"/>
    </row>
    <row r="6" spans="1:33">
      <c r="A6" s="17"/>
      <c r="B6" s="18"/>
      <c r="C6" s="18"/>
      <c r="D6" s="18"/>
      <c r="E6" s="18">
        <f t="shared" si="0"/>
        <v>0</v>
      </c>
      <c r="F6" s="18"/>
      <c r="G6" s="18">
        <f t="shared" ref="G6:G41" si="11">IF(F6="Low",0.77,IF(F6="High",0.44,0))</f>
        <v>0</v>
      </c>
      <c r="H6" s="18"/>
      <c r="I6" s="18">
        <f t="shared" si="1"/>
        <v>0</v>
      </c>
      <c r="J6" s="18"/>
      <c r="K6" s="18">
        <f t="shared" si="2"/>
        <v>0</v>
      </c>
      <c r="L6" s="18"/>
      <c r="M6" s="18">
        <f t="shared" si="3"/>
        <v>0</v>
      </c>
      <c r="N6" s="19"/>
      <c r="O6" s="19">
        <f t="shared" si="4"/>
        <v>0</v>
      </c>
      <c r="P6" s="18"/>
      <c r="Q6" s="19">
        <f t="shared" si="5"/>
        <v>0</v>
      </c>
      <c r="R6" s="18"/>
      <c r="S6" s="19">
        <f t="shared" si="6"/>
        <v>0</v>
      </c>
      <c r="T6" s="20">
        <f t="shared" si="7"/>
        <v>1.1501568000000004E-25</v>
      </c>
      <c r="U6" s="21">
        <f t="shared" si="8"/>
        <v>0</v>
      </c>
      <c r="V6" s="22">
        <f t="shared" si="9"/>
        <v>1.0649600000000003E-25</v>
      </c>
      <c r="W6" s="22">
        <f t="shared" si="10"/>
        <v>0</v>
      </c>
      <c r="X6" s="18"/>
      <c r="Y6" s="18"/>
      <c r="Z6" s="18"/>
      <c r="AA6" s="18"/>
      <c r="AB6" s="18"/>
      <c r="AC6" s="18"/>
      <c r="AD6" s="18"/>
      <c r="AE6" s="18"/>
      <c r="AF6" s="18"/>
      <c r="AG6" s="23"/>
    </row>
    <row r="7" spans="1:33">
      <c r="A7" s="17"/>
      <c r="B7" s="18"/>
      <c r="C7" s="18"/>
      <c r="D7" s="18"/>
      <c r="E7" s="18">
        <f t="shared" si="0"/>
        <v>0</v>
      </c>
      <c r="F7" s="18"/>
      <c r="G7" s="18">
        <f t="shared" si="11"/>
        <v>0</v>
      </c>
      <c r="H7" s="18"/>
      <c r="I7" s="18">
        <f t="shared" si="1"/>
        <v>0</v>
      </c>
      <c r="J7" s="18"/>
      <c r="K7" s="18">
        <f t="shared" si="2"/>
        <v>0</v>
      </c>
      <c r="L7" s="18"/>
      <c r="M7" s="18">
        <f t="shared" si="3"/>
        <v>0</v>
      </c>
      <c r="N7" s="18"/>
      <c r="O7" s="19">
        <f t="shared" si="4"/>
        <v>0</v>
      </c>
      <c r="P7" s="18"/>
      <c r="Q7" s="19">
        <f t="shared" si="5"/>
        <v>0</v>
      </c>
      <c r="R7" s="18"/>
      <c r="S7" s="19">
        <f t="shared" si="6"/>
        <v>0</v>
      </c>
      <c r="T7" s="20">
        <f t="shared" si="7"/>
        <v>1.1501568000000004E-25</v>
      </c>
      <c r="U7" s="21">
        <f t="shared" si="8"/>
        <v>0</v>
      </c>
      <c r="V7" s="22">
        <f t="shared" si="9"/>
        <v>1.0649600000000003E-25</v>
      </c>
      <c r="W7" s="22">
        <f t="shared" si="10"/>
        <v>0</v>
      </c>
      <c r="X7" s="18"/>
      <c r="Y7" s="18"/>
      <c r="Z7" s="18"/>
      <c r="AA7" s="18"/>
      <c r="AB7" s="18"/>
      <c r="AC7" s="18"/>
      <c r="AD7" s="18"/>
      <c r="AE7" s="18"/>
      <c r="AF7" s="18"/>
      <c r="AG7" s="23"/>
    </row>
    <row r="8" spans="1:33">
      <c r="A8" s="17"/>
      <c r="B8" s="18"/>
      <c r="C8" s="18"/>
      <c r="D8" s="18"/>
      <c r="E8" s="18">
        <f t="shared" si="0"/>
        <v>0</v>
      </c>
      <c r="F8" s="18"/>
      <c r="G8" s="18">
        <f t="shared" si="11"/>
        <v>0</v>
      </c>
      <c r="H8" s="18"/>
      <c r="I8" s="18">
        <f t="shared" si="1"/>
        <v>0</v>
      </c>
      <c r="J8" s="18"/>
      <c r="K8" s="18">
        <f t="shared" si="2"/>
        <v>0</v>
      </c>
      <c r="L8" s="18"/>
      <c r="M8" s="18">
        <f t="shared" si="3"/>
        <v>0</v>
      </c>
      <c r="N8" s="18"/>
      <c r="O8" s="19">
        <f t="shared" si="4"/>
        <v>0</v>
      </c>
      <c r="P8" s="18"/>
      <c r="Q8" s="19">
        <f t="shared" si="5"/>
        <v>0</v>
      </c>
      <c r="R8" s="18"/>
      <c r="S8" s="19">
        <f t="shared" si="6"/>
        <v>0</v>
      </c>
      <c r="T8" s="20">
        <f t="shared" si="7"/>
        <v>1.1501568000000004E-25</v>
      </c>
      <c r="U8" s="21">
        <f t="shared" si="8"/>
        <v>0</v>
      </c>
      <c r="V8" s="22">
        <f t="shared" si="9"/>
        <v>1.0649600000000003E-25</v>
      </c>
      <c r="W8" s="22">
        <f t="shared" si="10"/>
        <v>0</v>
      </c>
      <c r="X8" s="18"/>
      <c r="Y8" s="18"/>
      <c r="Z8" s="18"/>
      <c r="AA8" s="18"/>
      <c r="AB8" s="18"/>
      <c r="AC8" s="18"/>
      <c r="AD8" s="18"/>
      <c r="AE8" s="18"/>
      <c r="AF8" s="18"/>
      <c r="AG8" s="23"/>
    </row>
    <row r="9" spans="1:33">
      <c r="A9" s="17"/>
      <c r="B9" s="18"/>
      <c r="C9" s="18"/>
      <c r="D9" s="18"/>
      <c r="E9" s="18">
        <f t="shared" si="0"/>
        <v>0</v>
      </c>
      <c r="F9" s="18"/>
      <c r="G9" s="18">
        <f t="shared" si="11"/>
        <v>0</v>
      </c>
      <c r="H9" s="18"/>
      <c r="I9" s="18">
        <f t="shared" si="1"/>
        <v>0</v>
      </c>
      <c r="J9" s="18"/>
      <c r="K9" s="18">
        <f t="shared" si="2"/>
        <v>0</v>
      </c>
      <c r="L9" s="18"/>
      <c r="M9" s="18">
        <f t="shared" si="3"/>
        <v>0</v>
      </c>
      <c r="N9" s="18"/>
      <c r="O9" s="19">
        <f t="shared" si="4"/>
        <v>0</v>
      </c>
      <c r="P9" s="18"/>
      <c r="Q9" s="19">
        <f t="shared" si="5"/>
        <v>0</v>
      </c>
      <c r="R9" s="18"/>
      <c r="S9" s="19">
        <f t="shared" si="6"/>
        <v>0</v>
      </c>
      <c r="T9" s="20">
        <f t="shared" si="7"/>
        <v>1.1501568000000004E-25</v>
      </c>
      <c r="U9" s="21">
        <f t="shared" si="8"/>
        <v>0</v>
      </c>
      <c r="V9" s="22">
        <f t="shared" si="9"/>
        <v>1.0649600000000003E-25</v>
      </c>
      <c r="W9" s="22">
        <f t="shared" si="10"/>
        <v>0</v>
      </c>
      <c r="X9" s="18"/>
      <c r="Y9" s="18"/>
      <c r="Z9" s="18"/>
      <c r="AA9" s="18"/>
      <c r="AB9" s="18"/>
      <c r="AC9" s="18"/>
      <c r="AD9" s="18"/>
      <c r="AE9" s="18"/>
      <c r="AF9" s="18"/>
      <c r="AG9" s="23"/>
    </row>
    <row r="10" spans="1:33">
      <c r="A10" s="17"/>
      <c r="B10" s="18"/>
      <c r="C10" s="18"/>
      <c r="D10" s="18"/>
      <c r="E10" s="18">
        <f t="shared" si="0"/>
        <v>0</v>
      </c>
      <c r="F10" s="18"/>
      <c r="G10" s="18">
        <f t="shared" si="11"/>
        <v>0</v>
      </c>
      <c r="H10" s="18"/>
      <c r="I10" s="18">
        <f t="shared" si="1"/>
        <v>0</v>
      </c>
      <c r="J10" s="18"/>
      <c r="K10" s="18">
        <f t="shared" si="2"/>
        <v>0</v>
      </c>
      <c r="L10" s="18"/>
      <c r="M10" s="18">
        <f t="shared" si="3"/>
        <v>0</v>
      </c>
      <c r="N10" s="18"/>
      <c r="O10" s="19">
        <f t="shared" si="4"/>
        <v>0</v>
      </c>
      <c r="P10" s="18"/>
      <c r="Q10" s="19">
        <f t="shared" si="5"/>
        <v>0</v>
      </c>
      <c r="R10" s="18"/>
      <c r="S10" s="19">
        <f t="shared" si="6"/>
        <v>0</v>
      </c>
      <c r="T10" s="20">
        <f t="shared" si="7"/>
        <v>1.1501568000000004E-25</v>
      </c>
      <c r="U10" s="21">
        <f t="shared" si="8"/>
        <v>0</v>
      </c>
      <c r="V10" s="22">
        <f t="shared" si="9"/>
        <v>1.0649600000000003E-25</v>
      </c>
      <c r="W10" s="22">
        <f t="shared" si="10"/>
        <v>0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</row>
    <row r="11" spans="1:33">
      <c r="A11" s="17"/>
      <c r="B11" s="18"/>
      <c r="C11" s="18"/>
      <c r="D11" s="18"/>
      <c r="E11" s="18">
        <f t="shared" si="0"/>
        <v>0</v>
      </c>
      <c r="F11" s="18"/>
      <c r="G11" s="18">
        <f t="shared" si="11"/>
        <v>0</v>
      </c>
      <c r="H11" s="18"/>
      <c r="I11" s="18">
        <f t="shared" si="1"/>
        <v>0</v>
      </c>
      <c r="J11" s="18"/>
      <c r="K11" s="18">
        <f t="shared" si="2"/>
        <v>0</v>
      </c>
      <c r="L11" s="18"/>
      <c r="M11" s="18">
        <f t="shared" si="3"/>
        <v>0</v>
      </c>
      <c r="N11" s="18"/>
      <c r="O11" s="19">
        <f t="shared" si="4"/>
        <v>0</v>
      </c>
      <c r="P11" s="18"/>
      <c r="Q11" s="19">
        <f t="shared" si="5"/>
        <v>0</v>
      </c>
      <c r="R11" s="18"/>
      <c r="S11" s="19">
        <f t="shared" si="6"/>
        <v>0</v>
      </c>
      <c r="T11" s="20">
        <f t="shared" si="7"/>
        <v>1.1501568000000004E-25</v>
      </c>
      <c r="U11" s="21">
        <f t="shared" si="8"/>
        <v>0</v>
      </c>
      <c r="V11" s="22">
        <f t="shared" si="9"/>
        <v>1.0649600000000003E-25</v>
      </c>
      <c r="W11" s="22">
        <f t="shared" si="10"/>
        <v>0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</row>
    <row r="12" spans="1:33">
      <c r="A12" s="17"/>
      <c r="B12" s="18"/>
      <c r="C12" s="18"/>
      <c r="D12" s="18"/>
      <c r="E12" s="18">
        <f t="shared" si="0"/>
        <v>0</v>
      </c>
      <c r="F12" s="18"/>
      <c r="G12" s="18">
        <f t="shared" si="11"/>
        <v>0</v>
      </c>
      <c r="H12" s="18"/>
      <c r="I12" s="18">
        <f t="shared" si="1"/>
        <v>0</v>
      </c>
      <c r="J12" s="18"/>
      <c r="K12" s="18">
        <f t="shared" si="2"/>
        <v>0</v>
      </c>
      <c r="L12" s="18"/>
      <c r="M12" s="18">
        <f t="shared" si="3"/>
        <v>0</v>
      </c>
      <c r="N12" s="18"/>
      <c r="O12" s="19">
        <f t="shared" si="4"/>
        <v>0</v>
      </c>
      <c r="P12" s="18"/>
      <c r="Q12" s="19">
        <f t="shared" si="5"/>
        <v>0</v>
      </c>
      <c r="R12" s="18"/>
      <c r="S12" s="19">
        <f t="shared" si="6"/>
        <v>0</v>
      </c>
      <c r="T12" s="20">
        <f t="shared" si="7"/>
        <v>1.1501568000000004E-25</v>
      </c>
      <c r="U12" s="21">
        <f t="shared" si="8"/>
        <v>0</v>
      </c>
      <c r="V12" s="22">
        <f t="shared" si="9"/>
        <v>1.0649600000000003E-25</v>
      </c>
      <c r="W12" s="22">
        <f t="shared" si="10"/>
        <v>0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</row>
    <row r="13" spans="1:33">
      <c r="A13" s="17"/>
      <c r="B13" s="18"/>
      <c r="C13" s="18"/>
      <c r="D13" s="18"/>
      <c r="E13" s="18">
        <f t="shared" si="0"/>
        <v>0</v>
      </c>
      <c r="F13" s="18"/>
      <c r="G13" s="18">
        <f t="shared" si="11"/>
        <v>0</v>
      </c>
      <c r="H13" s="18"/>
      <c r="I13" s="18">
        <f t="shared" si="1"/>
        <v>0</v>
      </c>
      <c r="J13" s="18"/>
      <c r="K13" s="18">
        <f t="shared" si="2"/>
        <v>0</v>
      </c>
      <c r="L13" s="18"/>
      <c r="M13" s="18">
        <f t="shared" si="3"/>
        <v>0</v>
      </c>
      <c r="N13" s="18"/>
      <c r="O13" s="19">
        <f t="shared" si="4"/>
        <v>0</v>
      </c>
      <c r="P13" s="18"/>
      <c r="Q13" s="19">
        <f t="shared" si="5"/>
        <v>0</v>
      </c>
      <c r="R13" s="18"/>
      <c r="S13" s="19">
        <f t="shared" si="6"/>
        <v>0</v>
      </c>
      <c r="T13" s="20">
        <f t="shared" si="7"/>
        <v>1.1501568000000004E-25</v>
      </c>
      <c r="U13" s="21">
        <f t="shared" si="8"/>
        <v>0</v>
      </c>
      <c r="V13" s="22">
        <f t="shared" si="9"/>
        <v>1.0649600000000003E-25</v>
      </c>
      <c r="W13" s="22">
        <f t="shared" si="10"/>
        <v>0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</row>
    <row r="14" spans="1:33">
      <c r="A14" s="17"/>
      <c r="B14" s="18"/>
      <c r="C14" s="18"/>
      <c r="D14" s="18"/>
      <c r="E14" s="18">
        <f t="shared" si="0"/>
        <v>0</v>
      </c>
      <c r="F14" s="18"/>
      <c r="G14" s="18">
        <f t="shared" si="11"/>
        <v>0</v>
      </c>
      <c r="H14" s="18"/>
      <c r="I14" s="18">
        <f t="shared" si="1"/>
        <v>0</v>
      </c>
      <c r="J14" s="18"/>
      <c r="K14" s="18">
        <f t="shared" si="2"/>
        <v>0</v>
      </c>
      <c r="L14" s="18"/>
      <c r="M14" s="18">
        <f t="shared" si="3"/>
        <v>0</v>
      </c>
      <c r="N14" s="18"/>
      <c r="O14" s="19">
        <f t="shared" si="4"/>
        <v>0</v>
      </c>
      <c r="P14" s="18"/>
      <c r="Q14" s="19">
        <f t="shared" si="5"/>
        <v>0</v>
      </c>
      <c r="R14" s="18"/>
      <c r="S14" s="19">
        <f t="shared" si="6"/>
        <v>0</v>
      </c>
      <c r="T14" s="20">
        <f t="shared" si="7"/>
        <v>1.1501568000000004E-25</v>
      </c>
      <c r="U14" s="21">
        <f t="shared" si="8"/>
        <v>0</v>
      </c>
      <c r="V14" s="22">
        <f t="shared" si="9"/>
        <v>1.0649600000000003E-25</v>
      </c>
      <c r="W14" s="22">
        <f t="shared" si="10"/>
        <v>0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</row>
    <row r="15" spans="1:33">
      <c r="A15" s="17"/>
      <c r="B15" s="18"/>
      <c r="C15" s="18"/>
      <c r="D15" s="18"/>
      <c r="E15" s="18">
        <f t="shared" si="0"/>
        <v>0</v>
      </c>
      <c r="F15" s="18"/>
      <c r="G15" s="18">
        <f t="shared" si="11"/>
        <v>0</v>
      </c>
      <c r="H15" s="18"/>
      <c r="I15" s="18">
        <f t="shared" si="1"/>
        <v>0</v>
      </c>
      <c r="J15" s="18"/>
      <c r="K15" s="18">
        <f t="shared" si="2"/>
        <v>0</v>
      </c>
      <c r="L15" s="18"/>
      <c r="M15" s="18">
        <f t="shared" si="3"/>
        <v>0</v>
      </c>
      <c r="N15" s="18"/>
      <c r="O15" s="19">
        <f t="shared" si="4"/>
        <v>0</v>
      </c>
      <c r="P15" s="18"/>
      <c r="Q15" s="19">
        <f t="shared" si="5"/>
        <v>0</v>
      </c>
      <c r="R15" s="18"/>
      <c r="S15" s="19">
        <f t="shared" si="6"/>
        <v>0</v>
      </c>
      <c r="T15" s="20">
        <f t="shared" si="7"/>
        <v>1.1501568000000004E-25</v>
      </c>
      <c r="U15" s="21">
        <f t="shared" si="8"/>
        <v>0</v>
      </c>
      <c r="V15" s="22">
        <f t="shared" si="9"/>
        <v>1.0649600000000003E-25</v>
      </c>
      <c r="W15" s="22">
        <f t="shared" si="10"/>
        <v>0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</row>
    <row r="16" spans="1:33">
      <c r="A16" s="17"/>
      <c r="B16" s="18"/>
      <c r="C16" s="18"/>
      <c r="D16" s="18"/>
      <c r="E16" s="18">
        <f t="shared" si="0"/>
        <v>0</v>
      </c>
      <c r="F16" s="18"/>
      <c r="G16" s="18">
        <f t="shared" si="11"/>
        <v>0</v>
      </c>
      <c r="H16" s="18"/>
      <c r="I16" s="18">
        <f t="shared" si="1"/>
        <v>0</v>
      </c>
      <c r="J16" s="18"/>
      <c r="K16" s="18">
        <f t="shared" si="2"/>
        <v>0</v>
      </c>
      <c r="L16" s="18"/>
      <c r="M16" s="18">
        <f t="shared" si="3"/>
        <v>0</v>
      </c>
      <c r="N16" s="18"/>
      <c r="O16" s="19">
        <f t="shared" si="4"/>
        <v>0</v>
      </c>
      <c r="P16" s="18"/>
      <c r="Q16" s="19">
        <f t="shared" si="5"/>
        <v>0</v>
      </c>
      <c r="R16" s="18"/>
      <c r="S16" s="19">
        <f t="shared" si="6"/>
        <v>0</v>
      </c>
      <c r="T16" s="20">
        <f t="shared" si="7"/>
        <v>1.1501568000000004E-25</v>
      </c>
      <c r="U16" s="21">
        <f t="shared" si="8"/>
        <v>0</v>
      </c>
      <c r="V16" s="22">
        <f t="shared" si="9"/>
        <v>1.0649600000000003E-25</v>
      </c>
      <c r="W16" s="22">
        <f t="shared" si="10"/>
        <v>0</v>
      </c>
      <c r="X16" s="18"/>
      <c r="Y16" s="18"/>
      <c r="Z16" s="18"/>
      <c r="AA16" s="18"/>
      <c r="AB16" s="18"/>
      <c r="AC16" s="18"/>
      <c r="AD16" s="18"/>
      <c r="AE16" s="18"/>
      <c r="AF16" s="18"/>
      <c r="AG16" s="23"/>
    </row>
    <row r="17" spans="1:33">
      <c r="A17" s="17"/>
      <c r="B17" s="18"/>
      <c r="C17" s="18"/>
      <c r="D17" s="18"/>
      <c r="E17" s="18">
        <f t="shared" si="0"/>
        <v>0</v>
      </c>
      <c r="F17" s="18"/>
      <c r="G17" s="18">
        <f t="shared" si="11"/>
        <v>0</v>
      </c>
      <c r="H17" s="18"/>
      <c r="I17" s="18">
        <f t="shared" si="1"/>
        <v>0</v>
      </c>
      <c r="J17" s="18"/>
      <c r="K17" s="18">
        <f t="shared" si="2"/>
        <v>0</v>
      </c>
      <c r="L17" s="18"/>
      <c r="M17" s="18">
        <f t="shared" si="3"/>
        <v>0</v>
      </c>
      <c r="N17" s="18"/>
      <c r="O17" s="19">
        <f t="shared" si="4"/>
        <v>0</v>
      </c>
      <c r="P17" s="18"/>
      <c r="Q17" s="19">
        <f t="shared" si="5"/>
        <v>0</v>
      </c>
      <c r="R17" s="18"/>
      <c r="S17" s="19">
        <f t="shared" si="6"/>
        <v>0</v>
      </c>
      <c r="T17" s="20">
        <f t="shared" si="7"/>
        <v>1.1501568000000004E-25</v>
      </c>
      <c r="U17" s="21">
        <f t="shared" si="8"/>
        <v>0</v>
      </c>
      <c r="V17" s="22">
        <f t="shared" si="9"/>
        <v>1.0649600000000003E-25</v>
      </c>
      <c r="W17" s="22">
        <f t="shared" si="10"/>
        <v>0</v>
      </c>
      <c r="X17" s="18"/>
      <c r="Y17" s="18"/>
      <c r="Z17" s="18"/>
      <c r="AA17" s="18"/>
      <c r="AB17" s="18"/>
      <c r="AC17" s="18"/>
      <c r="AD17" s="18"/>
      <c r="AE17" s="18"/>
      <c r="AF17" s="18"/>
      <c r="AG17" s="23"/>
    </row>
    <row r="18" spans="1:33">
      <c r="A18" s="17"/>
      <c r="B18" s="18"/>
      <c r="C18" s="18"/>
      <c r="D18" s="18"/>
      <c r="E18" s="18">
        <f t="shared" si="0"/>
        <v>0</v>
      </c>
      <c r="F18" s="18"/>
      <c r="G18" s="18">
        <f t="shared" si="11"/>
        <v>0</v>
      </c>
      <c r="H18" s="18"/>
      <c r="I18" s="18">
        <f t="shared" si="1"/>
        <v>0</v>
      </c>
      <c r="J18" s="18"/>
      <c r="K18" s="18">
        <f t="shared" si="2"/>
        <v>0</v>
      </c>
      <c r="L18" s="18"/>
      <c r="M18" s="18">
        <f t="shared" si="3"/>
        <v>0</v>
      </c>
      <c r="N18" s="18"/>
      <c r="O18" s="19">
        <f t="shared" si="4"/>
        <v>0</v>
      </c>
      <c r="P18" s="18"/>
      <c r="Q18" s="19">
        <f t="shared" si="5"/>
        <v>0</v>
      </c>
      <c r="R18" s="18"/>
      <c r="S18" s="19">
        <f t="shared" si="6"/>
        <v>0</v>
      </c>
      <c r="T18" s="20">
        <f t="shared" si="7"/>
        <v>1.1501568000000004E-25</v>
      </c>
      <c r="U18" s="21">
        <f t="shared" si="8"/>
        <v>0</v>
      </c>
      <c r="V18" s="22">
        <f t="shared" si="9"/>
        <v>1.0649600000000003E-25</v>
      </c>
      <c r="W18" s="22">
        <f t="shared" si="10"/>
        <v>0</v>
      </c>
      <c r="X18" s="18"/>
      <c r="Y18" s="18"/>
      <c r="Z18" s="18"/>
      <c r="AA18" s="18"/>
      <c r="AB18" s="18"/>
      <c r="AC18" s="18"/>
      <c r="AD18" s="18"/>
      <c r="AE18" s="18"/>
      <c r="AF18" s="18"/>
      <c r="AG18" s="23"/>
    </row>
    <row r="19" spans="1:33">
      <c r="A19" s="17"/>
      <c r="B19" s="18"/>
      <c r="C19" s="18"/>
      <c r="D19" s="18"/>
      <c r="E19" s="18">
        <f t="shared" si="0"/>
        <v>0</v>
      </c>
      <c r="F19" s="18"/>
      <c r="G19" s="18">
        <f t="shared" si="11"/>
        <v>0</v>
      </c>
      <c r="H19" s="18"/>
      <c r="I19" s="18">
        <f t="shared" si="1"/>
        <v>0</v>
      </c>
      <c r="J19" s="18"/>
      <c r="K19" s="18">
        <f t="shared" si="2"/>
        <v>0</v>
      </c>
      <c r="L19" s="18"/>
      <c r="M19" s="18">
        <f t="shared" si="3"/>
        <v>0</v>
      </c>
      <c r="N19" s="18"/>
      <c r="O19" s="19">
        <f t="shared" si="4"/>
        <v>0</v>
      </c>
      <c r="P19" s="18"/>
      <c r="Q19" s="19">
        <f t="shared" si="5"/>
        <v>0</v>
      </c>
      <c r="R19" s="18"/>
      <c r="S19" s="19">
        <f t="shared" si="6"/>
        <v>0</v>
      </c>
      <c r="T19" s="20">
        <f t="shared" si="7"/>
        <v>1.1501568000000004E-25</v>
      </c>
      <c r="U19" s="21">
        <f t="shared" si="8"/>
        <v>0</v>
      </c>
      <c r="V19" s="22">
        <f t="shared" si="9"/>
        <v>1.0649600000000003E-25</v>
      </c>
      <c r="W19" s="22">
        <f t="shared" si="10"/>
        <v>0</v>
      </c>
      <c r="X19" s="18"/>
      <c r="Y19" s="18"/>
      <c r="Z19" s="18"/>
      <c r="AA19" s="18"/>
      <c r="AB19" s="18"/>
      <c r="AC19" s="18"/>
      <c r="AD19" s="18"/>
      <c r="AE19" s="18"/>
      <c r="AF19" s="18"/>
      <c r="AG19" s="23"/>
    </row>
    <row r="20" spans="1:33">
      <c r="A20" s="17"/>
      <c r="B20" s="18"/>
      <c r="C20" s="18"/>
      <c r="D20" s="18"/>
      <c r="E20" s="18">
        <f t="shared" si="0"/>
        <v>0</v>
      </c>
      <c r="F20" s="18"/>
      <c r="G20" s="18">
        <f t="shared" si="11"/>
        <v>0</v>
      </c>
      <c r="H20" s="18"/>
      <c r="I20" s="18">
        <f t="shared" si="1"/>
        <v>0</v>
      </c>
      <c r="J20" s="18"/>
      <c r="K20" s="18">
        <f t="shared" si="2"/>
        <v>0</v>
      </c>
      <c r="L20" s="18"/>
      <c r="M20" s="18">
        <f t="shared" si="3"/>
        <v>0</v>
      </c>
      <c r="N20" s="18"/>
      <c r="O20" s="19">
        <f t="shared" si="4"/>
        <v>0</v>
      </c>
      <c r="P20" s="18"/>
      <c r="Q20" s="19">
        <f t="shared" si="5"/>
        <v>0</v>
      </c>
      <c r="R20" s="18"/>
      <c r="S20" s="19">
        <f t="shared" si="6"/>
        <v>0</v>
      </c>
      <c r="T20" s="20">
        <f t="shared" si="7"/>
        <v>1.1501568000000004E-25</v>
      </c>
      <c r="U20" s="21">
        <f t="shared" si="8"/>
        <v>0</v>
      </c>
      <c r="V20" s="22">
        <f t="shared" si="9"/>
        <v>1.0649600000000003E-25</v>
      </c>
      <c r="W20" s="22">
        <f t="shared" si="10"/>
        <v>0</v>
      </c>
      <c r="X20" s="18"/>
      <c r="Y20" s="18"/>
      <c r="Z20" s="18"/>
      <c r="AA20" s="18"/>
      <c r="AB20" s="18"/>
      <c r="AC20" s="18"/>
      <c r="AD20" s="18"/>
      <c r="AE20" s="18"/>
      <c r="AF20" s="18"/>
      <c r="AG20" s="23"/>
    </row>
    <row r="21" spans="1:33">
      <c r="A21" s="17"/>
      <c r="B21" s="18"/>
      <c r="C21" s="18"/>
      <c r="D21" s="18"/>
      <c r="E21" s="18">
        <f t="shared" si="0"/>
        <v>0</v>
      </c>
      <c r="F21" s="18"/>
      <c r="G21" s="18">
        <f t="shared" si="11"/>
        <v>0</v>
      </c>
      <c r="H21" s="18"/>
      <c r="I21" s="18">
        <f t="shared" si="1"/>
        <v>0</v>
      </c>
      <c r="J21" s="18"/>
      <c r="K21" s="18">
        <f t="shared" si="2"/>
        <v>0</v>
      </c>
      <c r="L21" s="18"/>
      <c r="M21" s="18">
        <f t="shared" si="3"/>
        <v>0</v>
      </c>
      <c r="N21" s="18"/>
      <c r="O21" s="19">
        <f t="shared" si="4"/>
        <v>0</v>
      </c>
      <c r="P21" s="18"/>
      <c r="Q21" s="19">
        <f t="shared" si="5"/>
        <v>0</v>
      </c>
      <c r="R21" s="18"/>
      <c r="S21" s="19">
        <f t="shared" si="6"/>
        <v>0</v>
      </c>
      <c r="T21" s="20">
        <f t="shared" si="7"/>
        <v>1.1501568000000004E-25</v>
      </c>
      <c r="U21" s="21">
        <f t="shared" si="8"/>
        <v>0</v>
      </c>
      <c r="V21" s="22">
        <f t="shared" si="9"/>
        <v>1.0649600000000003E-25</v>
      </c>
      <c r="W21" s="22">
        <f t="shared" si="10"/>
        <v>0</v>
      </c>
      <c r="X21" s="18"/>
      <c r="Y21" s="18"/>
      <c r="Z21" s="18"/>
      <c r="AA21" s="18"/>
      <c r="AB21" s="18"/>
      <c r="AC21" s="18"/>
      <c r="AD21" s="18"/>
      <c r="AE21" s="18"/>
      <c r="AF21" s="18"/>
      <c r="AG21" s="23"/>
    </row>
    <row r="22" spans="1:33">
      <c r="A22" s="17"/>
      <c r="B22" s="18"/>
      <c r="C22" s="18"/>
      <c r="D22" s="18"/>
      <c r="E22" s="18">
        <f t="shared" si="0"/>
        <v>0</v>
      </c>
      <c r="F22" s="18"/>
      <c r="G22" s="18">
        <f t="shared" si="11"/>
        <v>0</v>
      </c>
      <c r="H22" s="18"/>
      <c r="I22" s="18">
        <f t="shared" si="1"/>
        <v>0</v>
      </c>
      <c r="J22" s="18"/>
      <c r="K22" s="18">
        <f t="shared" si="2"/>
        <v>0</v>
      </c>
      <c r="L22" s="18"/>
      <c r="M22" s="18">
        <f t="shared" si="3"/>
        <v>0</v>
      </c>
      <c r="N22" s="18"/>
      <c r="O22" s="19">
        <f t="shared" si="4"/>
        <v>0</v>
      </c>
      <c r="P22" s="18"/>
      <c r="Q22" s="19">
        <f t="shared" si="5"/>
        <v>0</v>
      </c>
      <c r="R22" s="18"/>
      <c r="S22" s="19">
        <f t="shared" si="6"/>
        <v>0</v>
      </c>
      <c r="T22" s="20">
        <f t="shared" si="7"/>
        <v>1.1501568000000004E-25</v>
      </c>
      <c r="U22" s="21">
        <f t="shared" si="8"/>
        <v>0</v>
      </c>
      <c r="V22" s="22">
        <f t="shared" si="9"/>
        <v>1.0649600000000003E-25</v>
      </c>
      <c r="W22" s="22">
        <f t="shared" si="10"/>
        <v>0</v>
      </c>
      <c r="X22" s="18"/>
      <c r="Y22" s="18"/>
      <c r="Z22" s="18"/>
      <c r="AA22" s="18"/>
      <c r="AB22" s="18"/>
      <c r="AC22" s="18"/>
      <c r="AD22" s="18"/>
      <c r="AE22" s="18"/>
      <c r="AF22" s="18"/>
      <c r="AG22" s="23"/>
    </row>
    <row r="23" spans="1:33">
      <c r="A23" s="17"/>
      <c r="B23" s="18"/>
      <c r="C23" s="18"/>
      <c r="D23" s="18"/>
      <c r="E23" s="18">
        <f t="shared" si="0"/>
        <v>0</v>
      </c>
      <c r="F23" s="18"/>
      <c r="G23" s="18">
        <f t="shared" si="11"/>
        <v>0</v>
      </c>
      <c r="H23" s="18"/>
      <c r="I23" s="18">
        <f t="shared" si="1"/>
        <v>0</v>
      </c>
      <c r="J23" s="18"/>
      <c r="K23" s="18">
        <f t="shared" si="2"/>
        <v>0</v>
      </c>
      <c r="L23" s="18"/>
      <c r="M23" s="18">
        <f t="shared" si="3"/>
        <v>0</v>
      </c>
      <c r="N23" s="18"/>
      <c r="O23" s="19">
        <f t="shared" si="4"/>
        <v>0</v>
      </c>
      <c r="P23" s="18"/>
      <c r="Q23" s="19">
        <f t="shared" si="5"/>
        <v>0</v>
      </c>
      <c r="R23" s="18"/>
      <c r="S23" s="19">
        <f t="shared" si="6"/>
        <v>0</v>
      </c>
      <c r="T23" s="20">
        <f t="shared" si="7"/>
        <v>1.1501568000000004E-25</v>
      </c>
      <c r="U23" s="21">
        <f t="shared" si="8"/>
        <v>0</v>
      </c>
      <c r="V23" s="22">
        <f t="shared" si="9"/>
        <v>1.0649600000000003E-25</v>
      </c>
      <c r="W23" s="22">
        <f t="shared" si="10"/>
        <v>0</v>
      </c>
      <c r="X23" s="18"/>
      <c r="Y23" s="18"/>
      <c r="Z23" s="18"/>
      <c r="AA23" s="18"/>
      <c r="AB23" s="18"/>
      <c r="AC23" s="18"/>
      <c r="AD23" s="18"/>
      <c r="AE23" s="18"/>
      <c r="AF23" s="18"/>
      <c r="AG23" s="23"/>
    </row>
    <row r="24" spans="1:33">
      <c r="A24" s="17"/>
      <c r="B24" s="18"/>
      <c r="C24" s="18"/>
      <c r="D24" s="18"/>
      <c r="E24" s="18">
        <f t="shared" si="0"/>
        <v>0</v>
      </c>
      <c r="F24" s="18"/>
      <c r="G24" s="18">
        <f t="shared" si="11"/>
        <v>0</v>
      </c>
      <c r="H24" s="18"/>
      <c r="I24" s="18">
        <f t="shared" si="1"/>
        <v>0</v>
      </c>
      <c r="J24" s="18"/>
      <c r="K24" s="18">
        <f t="shared" si="2"/>
        <v>0</v>
      </c>
      <c r="L24" s="18"/>
      <c r="M24" s="18">
        <f t="shared" si="3"/>
        <v>0</v>
      </c>
      <c r="N24" s="18"/>
      <c r="O24" s="19">
        <f t="shared" si="4"/>
        <v>0</v>
      </c>
      <c r="P24" s="18"/>
      <c r="Q24" s="19">
        <f t="shared" si="5"/>
        <v>0</v>
      </c>
      <c r="R24" s="18"/>
      <c r="S24" s="19">
        <f t="shared" si="6"/>
        <v>0</v>
      </c>
      <c r="T24" s="20">
        <f t="shared" si="7"/>
        <v>1.1501568000000004E-25</v>
      </c>
      <c r="U24" s="21">
        <f t="shared" si="8"/>
        <v>0</v>
      </c>
      <c r="V24" s="22">
        <f t="shared" si="9"/>
        <v>1.0649600000000003E-25</v>
      </c>
      <c r="W24" s="22">
        <f t="shared" si="10"/>
        <v>0</v>
      </c>
      <c r="X24" s="18"/>
      <c r="Y24" s="18"/>
      <c r="Z24" s="18"/>
      <c r="AA24" s="18"/>
      <c r="AB24" s="18"/>
      <c r="AC24" s="18"/>
      <c r="AD24" s="18"/>
      <c r="AE24" s="18"/>
      <c r="AF24" s="18"/>
      <c r="AG24" s="23"/>
    </row>
    <row r="25" spans="1:33">
      <c r="A25" s="17"/>
      <c r="B25" s="18"/>
      <c r="C25" s="18"/>
      <c r="D25" s="18"/>
      <c r="E25" s="18">
        <f t="shared" si="0"/>
        <v>0</v>
      </c>
      <c r="F25" s="18"/>
      <c r="G25" s="18">
        <f t="shared" si="11"/>
        <v>0</v>
      </c>
      <c r="H25" s="18"/>
      <c r="I25" s="18">
        <f t="shared" si="1"/>
        <v>0</v>
      </c>
      <c r="J25" s="18"/>
      <c r="K25" s="18">
        <f t="shared" si="2"/>
        <v>0</v>
      </c>
      <c r="L25" s="18"/>
      <c r="M25" s="18">
        <f t="shared" si="3"/>
        <v>0</v>
      </c>
      <c r="N25" s="18"/>
      <c r="O25" s="19">
        <f t="shared" si="4"/>
        <v>0</v>
      </c>
      <c r="P25" s="18"/>
      <c r="Q25" s="19">
        <f t="shared" si="5"/>
        <v>0</v>
      </c>
      <c r="R25" s="18"/>
      <c r="S25" s="19">
        <f t="shared" si="6"/>
        <v>0</v>
      </c>
      <c r="T25" s="20">
        <f t="shared" si="7"/>
        <v>1.1501568000000004E-25</v>
      </c>
      <c r="U25" s="21">
        <f t="shared" si="8"/>
        <v>0</v>
      </c>
      <c r="V25" s="22">
        <f t="shared" si="9"/>
        <v>1.0649600000000003E-25</v>
      </c>
      <c r="W25" s="22">
        <f t="shared" si="10"/>
        <v>0</v>
      </c>
      <c r="X25" s="18"/>
      <c r="Y25" s="18"/>
      <c r="Z25" s="18"/>
      <c r="AA25" s="18"/>
      <c r="AB25" s="18"/>
      <c r="AC25" s="18"/>
      <c r="AD25" s="18"/>
      <c r="AE25" s="18"/>
      <c r="AF25" s="18"/>
      <c r="AG25" s="23"/>
    </row>
    <row r="26" spans="1:33">
      <c r="A26" s="17"/>
      <c r="B26" s="18"/>
      <c r="C26" s="18"/>
      <c r="D26" s="18"/>
      <c r="E26" s="18">
        <f t="shared" si="0"/>
        <v>0</v>
      </c>
      <c r="F26" s="18"/>
      <c r="G26" s="18">
        <f t="shared" si="11"/>
        <v>0</v>
      </c>
      <c r="H26" s="18"/>
      <c r="I26" s="18">
        <f t="shared" si="1"/>
        <v>0</v>
      </c>
      <c r="J26" s="18"/>
      <c r="K26" s="18">
        <f t="shared" si="2"/>
        <v>0</v>
      </c>
      <c r="L26" s="18"/>
      <c r="M26" s="18">
        <f t="shared" si="3"/>
        <v>0</v>
      </c>
      <c r="N26" s="18"/>
      <c r="O26" s="19">
        <f t="shared" si="4"/>
        <v>0</v>
      </c>
      <c r="P26" s="18"/>
      <c r="Q26" s="19">
        <f t="shared" si="5"/>
        <v>0</v>
      </c>
      <c r="R26" s="18"/>
      <c r="S26" s="19">
        <f t="shared" si="6"/>
        <v>0</v>
      </c>
      <c r="T26" s="20">
        <f t="shared" si="7"/>
        <v>1.1501568000000004E-25</v>
      </c>
      <c r="U26" s="21">
        <f t="shared" si="8"/>
        <v>0</v>
      </c>
      <c r="V26" s="22">
        <f t="shared" si="9"/>
        <v>1.0649600000000003E-25</v>
      </c>
      <c r="W26" s="22">
        <f t="shared" si="10"/>
        <v>0</v>
      </c>
      <c r="X26" s="18"/>
      <c r="Y26" s="18"/>
      <c r="Z26" s="18"/>
      <c r="AA26" s="18"/>
      <c r="AB26" s="18"/>
      <c r="AC26" s="18"/>
      <c r="AD26" s="18"/>
      <c r="AE26" s="18"/>
      <c r="AF26" s="18"/>
      <c r="AG26" s="23"/>
    </row>
    <row r="27" spans="1:33">
      <c r="A27" s="17"/>
      <c r="B27" s="18"/>
      <c r="C27" s="18"/>
      <c r="D27" s="18"/>
      <c r="E27" s="18">
        <f t="shared" si="0"/>
        <v>0</v>
      </c>
      <c r="F27" s="18"/>
      <c r="G27" s="18">
        <f t="shared" si="11"/>
        <v>0</v>
      </c>
      <c r="H27" s="18"/>
      <c r="I27" s="18">
        <f t="shared" si="1"/>
        <v>0</v>
      </c>
      <c r="J27" s="18"/>
      <c r="K27" s="18">
        <f t="shared" si="2"/>
        <v>0</v>
      </c>
      <c r="L27" s="18"/>
      <c r="M27" s="18">
        <f t="shared" si="3"/>
        <v>0</v>
      </c>
      <c r="N27" s="18"/>
      <c r="O27" s="19">
        <f t="shared" si="4"/>
        <v>0</v>
      </c>
      <c r="P27" s="18"/>
      <c r="Q27" s="19">
        <f t="shared" si="5"/>
        <v>0</v>
      </c>
      <c r="R27" s="18"/>
      <c r="S27" s="19">
        <f t="shared" si="6"/>
        <v>0</v>
      </c>
      <c r="T27" s="20">
        <f t="shared" si="7"/>
        <v>1.1501568000000004E-25</v>
      </c>
      <c r="U27" s="21">
        <f t="shared" si="8"/>
        <v>0</v>
      </c>
      <c r="V27" s="22">
        <f t="shared" si="9"/>
        <v>1.0649600000000003E-25</v>
      </c>
      <c r="W27" s="22">
        <f t="shared" si="10"/>
        <v>0</v>
      </c>
      <c r="X27" s="18"/>
      <c r="Y27" s="18"/>
      <c r="Z27" s="18"/>
      <c r="AA27" s="18"/>
      <c r="AB27" s="18"/>
      <c r="AC27" s="18"/>
      <c r="AD27" s="18"/>
      <c r="AE27" s="18"/>
      <c r="AF27" s="18"/>
      <c r="AG27" s="23"/>
    </row>
    <row r="28" spans="1:33">
      <c r="A28" s="17"/>
      <c r="B28" s="23"/>
      <c r="C28" s="23"/>
      <c r="D28" s="23"/>
      <c r="E28" s="18">
        <f t="shared" si="0"/>
        <v>0</v>
      </c>
      <c r="F28" s="23"/>
      <c r="G28" s="18">
        <f t="shared" si="11"/>
        <v>0</v>
      </c>
      <c r="H28" s="23"/>
      <c r="I28" s="18">
        <f t="shared" si="1"/>
        <v>0</v>
      </c>
      <c r="J28" s="23"/>
      <c r="K28" s="18">
        <f t="shared" si="2"/>
        <v>0</v>
      </c>
      <c r="L28" s="23"/>
      <c r="M28" s="18">
        <f t="shared" si="3"/>
        <v>0</v>
      </c>
      <c r="N28" s="23"/>
      <c r="O28" s="19">
        <f t="shared" si="4"/>
        <v>0</v>
      </c>
      <c r="P28" s="18"/>
      <c r="Q28" s="19">
        <f t="shared" si="5"/>
        <v>0</v>
      </c>
      <c r="R28" s="18"/>
      <c r="S28" s="19">
        <f t="shared" si="6"/>
        <v>0</v>
      </c>
      <c r="T28" s="20">
        <f t="shared" si="7"/>
        <v>1.1501568000000004E-25</v>
      </c>
      <c r="U28" s="21">
        <f t="shared" si="8"/>
        <v>0</v>
      </c>
      <c r="V28" s="22">
        <f t="shared" si="9"/>
        <v>1.0649600000000003E-25</v>
      </c>
      <c r="W28" s="22">
        <f t="shared" si="10"/>
        <v>0</v>
      </c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>
      <c r="A29" s="17"/>
      <c r="B29" s="23"/>
      <c r="C29" s="23"/>
      <c r="D29" s="23"/>
      <c r="E29" s="18">
        <f t="shared" si="0"/>
        <v>0</v>
      </c>
      <c r="F29" s="23"/>
      <c r="G29" s="18">
        <f t="shared" si="11"/>
        <v>0</v>
      </c>
      <c r="H29" s="23"/>
      <c r="I29" s="18">
        <f t="shared" si="1"/>
        <v>0</v>
      </c>
      <c r="J29" s="23"/>
      <c r="K29" s="18">
        <f t="shared" si="2"/>
        <v>0</v>
      </c>
      <c r="L29" s="23"/>
      <c r="M29" s="18">
        <f t="shared" si="3"/>
        <v>0</v>
      </c>
      <c r="N29" s="23"/>
      <c r="O29" s="19">
        <f t="shared" si="4"/>
        <v>0</v>
      </c>
      <c r="P29" s="18"/>
      <c r="Q29" s="19">
        <f t="shared" si="5"/>
        <v>0</v>
      </c>
      <c r="R29" s="18"/>
      <c r="S29" s="19">
        <f t="shared" si="6"/>
        <v>0</v>
      </c>
      <c r="T29" s="20">
        <f t="shared" si="7"/>
        <v>1.1501568000000004E-25</v>
      </c>
      <c r="U29" s="21">
        <f t="shared" si="8"/>
        <v>0</v>
      </c>
      <c r="V29" s="22">
        <f t="shared" si="9"/>
        <v>1.0649600000000003E-25</v>
      </c>
      <c r="W29" s="22">
        <f t="shared" si="10"/>
        <v>0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>
      <c r="A30" s="17"/>
      <c r="B30" s="23"/>
      <c r="C30" s="23"/>
      <c r="D30" s="23"/>
      <c r="E30" s="18">
        <f t="shared" si="0"/>
        <v>0</v>
      </c>
      <c r="F30" s="23"/>
      <c r="G30" s="18">
        <f t="shared" si="11"/>
        <v>0</v>
      </c>
      <c r="H30" s="23"/>
      <c r="I30" s="18">
        <f t="shared" si="1"/>
        <v>0</v>
      </c>
      <c r="J30" s="23"/>
      <c r="K30" s="18">
        <f t="shared" si="2"/>
        <v>0</v>
      </c>
      <c r="L30" s="23"/>
      <c r="M30" s="18">
        <f t="shared" si="3"/>
        <v>0</v>
      </c>
      <c r="N30" s="23"/>
      <c r="O30" s="19">
        <f t="shared" si="4"/>
        <v>0</v>
      </c>
      <c r="P30" s="18"/>
      <c r="Q30" s="19">
        <f t="shared" si="5"/>
        <v>0</v>
      </c>
      <c r="R30" s="18"/>
      <c r="S30" s="19">
        <f t="shared" si="6"/>
        <v>0</v>
      </c>
      <c r="T30" s="20">
        <f t="shared" si="7"/>
        <v>1.1501568000000004E-25</v>
      </c>
      <c r="U30" s="21">
        <f t="shared" si="8"/>
        <v>0</v>
      </c>
      <c r="V30" s="22">
        <f t="shared" si="9"/>
        <v>1.0649600000000003E-25</v>
      </c>
      <c r="W30" s="22">
        <f t="shared" si="10"/>
        <v>0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>
      <c r="A31" s="23"/>
      <c r="B31" s="23"/>
      <c r="C31" s="23"/>
      <c r="D31" s="23"/>
      <c r="E31" s="18">
        <f t="shared" si="0"/>
        <v>0</v>
      </c>
      <c r="F31" s="23"/>
      <c r="G31" s="18">
        <f t="shared" si="11"/>
        <v>0</v>
      </c>
      <c r="H31" s="23"/>
      <c r="I31" s="18">
        <f t="shared" si="1"/>
        <v>0</v>
      </c>
      <c r="J31" s="23"/>
      <c r="K31" s="18">
        <f t="shared" si="2"/>
        <v>0</v>
      </c>
      <c r="L31" s="23"/>
      <c r="M31" s="18">
        <f t="shared" si="3"/>
        <v>0</v>
      </c>
      <c r="N31" s="23"/>
      <c r="O31" s="19">
        <f t="shared" si="4"/>
        <v>0</v>
      </c>
      <c r="P31" s="18"/>
      <c r="Q31" s="19">
        <f t="shared" si="5"/>
        <v>0</v>
      </c>
      <c r="R31" s="18"/>
      <c r="S31" s="19">
        <f t="shared" si="6"/>
        <v>0</v>
      </c>
      <c r="T31" s="20">
        <f t="shared" si="7"/>
        <v>1.1501568000000004E-25</v>
      </c>
      <c r="U31" s="21">
        <f t="shared" si="8"/>
        <v>0</v>
      </c>
      <c r="V31" s="22">
        <f t="shared" si="9"/>
        <v>1.0649600000000003E-25</v>
      </c>
      <c r="W31" s="22">
        <f t="shared" si="10"/>
        <v>0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>
      <c r="A32" s="23"/>
      <c r="B32" s="23"/>
      <c r="C32" s="23"/>
      <c r="D32" s="23"/>
      <c r="E32" s="18">
        <f t="shared" si="0"/>
        <v>0</v>
      </c>
      <c r="F32" s="23"/>
      <c r="G32" s="18">
        <f t="shared" si="11"/>
        <v>0</v>
      </c>
      <c r="H32" s="23"/>
      <c r="I32" s="18">
        <f t="shared" si="1"/>
        <v>0</v>
      </c>
      <c r="J32" s="23"/>
      <c r="K32" s="18">
        <f t="shared" si="2"/>
        <v>0</v>
      </c>
      <c r="L32" s="23"/>
      <c r="M32" s="18">
        <f t="shared" si="3"/>
        <v>0</v>
      </c>
      <c r="N32" s="23"/>
      <c r="O32" s="19">
        <f t="shared" si="4"/>
        <v>0</v>
      </c>
      <c r="P32" s="18"/>
      <c r="Q32" s="19">
        <f t="shared" si="5"/>
        <v>0</v>
      </c>
      <c r="R32" s="18"/>
      <c r="S32" s="19">
        <f t="shared" si="6"/>
        <v>0</v>
      </c>
      <c r="T32" s="20">
        <f t="shared" si="7"/>
        <v>1.1501568000000004E-25</v>
      </c>
      <c r="U32" s="21">
        <f t="shared" si="8"/>
        <v>0</v>
      </c>
      <c r="V32" s="22">
        <f t="shared" si="9"/>
        <v>1.0649600000000003E-25</v>
      </c>
      <c r="W32" s="22">
        <f t="shared" si="10"/>
        <v>0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>
      <c r="A33" s="23"/>
      <c r="B33" s="23"/>
      <c r="C33" s="23"/>
      <c r="D33" s="23"/>
      <c r="E33" s="18">
        <f t="shared" si="0"/>
        <v>0</v>
      </c>
      <c r="F33" s="23"/>
      <c r="G33" s="18">
        <f t="shared" si="11"/>
        <v>0</v>
      </c>
      <c r="H33" s="23"/>
      <c r="I33" s="18">
        <f t="shared" si="1"/>
        <v>0</v>
      </c>
      <c r="J33" s="23"/>
      <c r="K33" s="18">
        <f t="shared" si="2"/>
        <v>0</v>
      </c>
      <c r="L33" s="23"/>
      <c r="M33" s="18">
        <f t="shared" si="3"/>
        <v>0</v>
      </c>
      <c r="N33" s="23"/>
      <c r="O33" s="19">
        <f t="shared" si="4"/>
        <v>0</v>
      </c>
      <c r="P33" s="18"/>
      <c r="Q33" s="19">
        <f t="shared" si="5"/>
        <v>0</v>
      </c>
      <c r="R33" s="18"/>
      <c r="S33" s="19">
        <f t="shared" si="6"/>
        <v>0</v>
      </c>
      <c r="T33" s="20">
        <f t="shared" si="7"/>
        <v>1.1501568000000004E-25</v>
      </c>
      <c r="U33" s="21">
        <f t="shared" si="8"/>
        <v>0</v>
      </c>
      <c r="V33" s="22">
        <f t="shared" si="9"/>
        <v>1.0649600000000003E-25</v>
      </c>
      <c r="W33" s="22">
        <f t="shared" si="10"/>
        <v>0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>
      <c r="A34" s="23"/>
      <c r="B34" s="23"/>
      <c r="C34" s="23"/>
      <c r="D34" s="23"/>
      <c r="E34" s="18">
        <f t="shared" si="0"/>
        <v>0</v>
      </c>
      <c r="F34" s="23"/>
      <c r="G34" s="18">
        <f t="shared" si="11"/>
        <v>0</v>
      </c>
      <c r="H34" s="23"/>
      <c r="I34" s="18">
        <f t="shared" si="1"/>
        <v>0</v>
      </c>
      <c r="J34" s="23"/>
      <c r="K34" s="18">
        <f t="shared" si="2"/>
        <v>0</v>
      </c>
      <c r="L34" s="23"/>
      <c r="M34" s="18">
        <f t="shared" si="3"/>
        <v>0</v>
      </c>
      <c r="N34" s="23"/>
      <c r="O34" s="19">
        <f t="shared" si="4"/>
        <v>0</v>
      </c>
      <c r="P34" s="18"/>
      <c r="Q34" s="19">
        <f t="shared" si="5"/>
        <v>0</v>
      </c>
      <c r="R34" s="18"/>
      <c r="S34" s="19">
        <f t="shared" si="6"/>
        <v>0</v>
      </c>
      <c r="T34" s="20">
        <f t="shared" si="7"/>
        <v>1.1501568000000004E-25</v>
      </c>
      <c r="U34" s="21">
        <f t="shared" si="8"/>
        <v>0</v>
      </c>
      <c r="V34" s="22">
        <f t="shared" si="9"/>
        <v>1.0649600000000003E-25</v>
      </c>
      <c r="W34" s="22">
        <f t="shared" si="10"/>
        <v>0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>
      <c r="B35" s="64"/>
      <c r="D35" s="64"/>
      <c r="E35" s="3">
        <f t="shared" si="0"/>
        <v>0</v>
      </c>
      <c r="F35" s="64"/>
      <c r="G35" s="3">
        <f t="shared" si="11"/>
        <v>0</v>
      </c>
      <c r="H35" s="64"/>
      <c r="I35" s="3">
        <f t="shared" si="1"/>
        <v>0</v>
      </c>
      <c r="J35" s="64"/>
      <c r="K35" s="3">
        <f t="shared" si="2"/>
        <v>0</v>
      </c>
      <c r="L35" s="64"/>
      <c r="M35" s="3">
        <f t="shared" si="3"/>
        <v>0</v>
      </c>
      <c r="N35" s="64"/>
      <c r="O35" s="24">
        <f t="shared" si="4"/>
        <v>0</v>
      </c>
      <c r="P35" s="3"/>
      <c r="Q35" s="24">
        <f t="shared" si="5"/>
        <v>0</v>
      </c>
      <c r="R35" s="3"/>
      <c r="S35" s="24">
        <f t="shared" si="6"/>
        <v>0</v>
      </c>
      <c r="T35" s="20">
        <f t="shared" si="7"/>
        <v>1.1501568000000004E-25</v>
      </c>
      <c r="U35" s="21">
        <f t="shared" si="8"/>
        <v>0</v>
      </c>
      <c r="V35" s="22">
        <f t="shared" si="9"/>
        <v>1.0649600000000003E-25</v>
      </c>
      <c r="W35" s="22">
        <f t="shared" si="10"/>
        <v>0</v>
      </c>
    </row>
    <row r="36" spans="1:33">
      <c r="B36" s="64"/>
      <c r="D36" s="64"/>
      <c r="E36" s="3">
        <f t="shared" si="0"/>
        <v>0</v>
      </c>
      <c r="F36" s="64"/>
      <c r="G36" s="3">
        <f t="shared" si="11"/>
        <v>0</v>
      </c>
      <c r="H36" s="64"/>
      <c r="I36" s="3">
        <f t="shared" si="1"/>
        <v>0</v>
      </c>
      <c r="J36" s="64"/>
      <c r="K36" s="3">
        <f t="shared" si="2"/>
        <v>0</v>
      </c>
      <c r="L36" s="64"/>
      <c r="M36" s="3">
        <f t="shared" si="3"/>
        <v>0</v>
      </c>
      <c r="N36" s="64"/>
      <c r="O36" s="24">
        <f t="shared" si="4"/>
        <v>0</v>
      </c>
      <c r="P36" s="3"/>
      <c r="Q36" s="24">
        <f t="shared" si="5"/>
        <v>0</v>
      </c>
      <c r="R36" s="3"/>
      <c r="S36" s="24">
        <f t="shared" si="6"/>
        <v>0</v>
      </c>
      <c r="T36" s="20">
        <f t="shared" si="7"/>
        <v>1.1501568000000004E-25</v>
      </c>
      <c r="U36" s="21">
        <f t="shared" si="8"/>
        <v>0</v>
      </c>
      <c r="V36" s="22">
        <f t="shared" si="9"/>
        <v>1.0649600000000003E-25</v>
      </c>
      <c r="W36" s="22">
        <f t="shared" si="10"/>
        <v>0</v>
      </c>
    </row>
    <row r="37" spans="1:33">
      <c r="B37" s="64"/>
      <c r="D37" s="64"/>
      <c r="E37" s="3">
        <f t="shared" si="0"/>
        <v>0</v>
      </c>
      <c r="F37" s="64"/>
      <c r="G37" s="3">
        <f t="shared" si="11"/>
        <v>0</v>
      </c>
      <c r="H37" s="64"/>
      <c r="I37" s="3">
        <f t="shared" si="1"/>
        <v>0</v>
      </c>
      <c r="J37" s="64"/>
      <c r="K37" s="3">
        <f t="shared" si="2"/>
        <v>0</v>
      </c>
      <c r="L37" s="64"/>
      <c r="M37" s="3">
        <f t="shared" si="3"/>
        <v>0</v>
      </c>
      <c r="N37" s="64"/>
      <c r="O37" s="24">
        <f t="shared" si="4"/>
        <v>0</v>
      </c>
      <c r="P37" s="3"/>
      <c r="Q37" s="24">
        <f t="shared" si="5"/>
        <v>0</v>
      </c>
      <c r="R37" s="3"/>
      <c r="S37" s="24">
        <f t="shared" si="6"/>
        <v>0</v>
      </c>
      <c r="T37" s="20">
        <f t="shared" si="7"/>
        <v>1.1501568000000004E-25</v>
      </c>
      <c r="U37" s="21">
        <f t="shared" si="8"/>
        <v>0</v>
      </c>
      <c r="V37" s="22">
        <f t="shared" si="9"/>
        <v>1.0649600000000003E-25</v>
      </c>
      <c r="W37" s="22">
        <f t="shared" si="10"/>
        <v>0</v>
      </c>
    </row>
    <row r="38" spans="1:33">
      <c r="B38" s="64"/>
      <c r="D38" s="64"/>
      <c r="E38" s="3">
        <f t="shared" si="0"/>
        <v>0</v>
      </c>
      <c r="F38" s="64"/>
      <c r="G38" s="3">
        <f t="shared" si="11"/>
        <v>0</v>
      </c>
      <c r="H38" s="64"/>
      <c r="I38" s="3">
        <f t="shared" si="1"/>
        <v>0</v>
      </c>
      <c r="J38" s="64"/>
      <c r="K38" s="3">
        <f t="shared" si="2"/>
        <v>0</v>
      </c>
      <c r="L38" s="64"/>
      <c r="M38" s="3">
        <f t="shared" si="3"/>
        <v>0</v>
      </c>
      <c r="N38" s="64"/>
      <c r="O38" s="24">
        <f t="shared" si="4"/>
        <v>0</v>
      </c>
      <c r="P38" s="3"/>
      <c r="Q38" s="24">
        <f t="shared" si="5"/>
        <v>0</v>
      </c>
      <c r="R38" s="3"/>
      <c r="S38" s="24">
        <f t="shared" si="6"/>
        <v>0</v>
      </c>
      <c r="T38" s="20">
        <f t="shared" si="7"/>
        <v>1.1501568000000004E-25</v>
      </c>
      <c r="U38" s="21">
        <f t="shared" si="8"/>
        <v>0</v>
      </c>
      <c r="V38" s="22">
        <f t="shared" si="9"/>
        <v>1.0649600000000003E-25</v>
      </c>
      <c r="W38" s="22">
        <f t="shared" si="10"/>
        <v>0</v>
      </c>
    </row>
    <row r="39" spans="1:33">
      <c r="B39" s="64"/>
      <c r="D39" s="64"/>
      <c r="E39" s="3">
        <f t="shared" si="0"/>
        <v>0</v>
      </c>
      <c r="F39" s="64"/>
      <c r="G39" s="3">
        <f t="shared" si="11"/>
        <v>0</v>
      </c>
      <c r="H39" s="64"/>
      <c r="I39" s="3">
        <f t="shared" si="1"/>
        <v>0</v>
      </c>
      <c r="J39" s="64"/>
      <c r="K39" s="3">
        <f t="shared" si="2"/>
        <v>0</v>
      </c>
      <c r="L39" s="64"/>
      <c r="M39" s="3">
        <f t="shared" si="3"/>
        <v>0</v>
      </c>
      <c r="N39" s="64"/>
      <c r="O39" s="24">
        <f t="shared" si="4"/>
        <v>0</v>
      </c>
      <c r="P39" s="3"/>
      <c r="Q39" s="24">
        <f t="shared" si="5"/>
        <v>0</v>
      </c>
      <c r="R39" s="3"/>
      <c r="S39" s="24">
        <f t="shared" si="6"/>
        <v>0</v>
      </c>
      <c r="T39" s="20">
        <f t="shared" si="7"/>
        <v>1.1501568000000004E-25</v>
      </c>
      <c r="U39" s="21">
        <f t="shared" si="8"/>
        <v>0</v>
      </c>
      <c r="V39" s="22">
        <f t="shared" si="9"/>
        <v>1.0649600000000003E-25</v>
      </c>
      <c r="W39" s="22">
        <f t="shared" si="10"/>
        <v>0</v>
      </c>
    </row>
    <row r="40" spans="1:33">
      <c r="B40" s="64"/>
      <c r="D40" s="64"/>
      <c r="E40" s="3">
        <f t="shared" si="0"/>
        <v>0</v>
      </c>
      <c r="F40" s="64"/>
      <c r="G40" s="3">
        <f t="shared" si="11"/>
        <v>0</v>
      </c>
      <c r="H40" s="64"/>
      <c r="I40" s="3">
        <f t="shared" si="1"/>
        <v>0</v>
      </c>
      <c r="J40" s="64"/>
      <c r="K40" s="3">
        <f t="shared" si="2"/>
        <v>0</v>
      </c>
      <c r="L40" s="64"/>
      <c r="M40" s="3">
        <f t="shared" si="3"/>
        <v>0</v>
      </c>
      <c r="N40" s="64"/>
      <c r="O40" s="24">
        <f t="shared" si="4"/>
        <v>0</v>
      </c>
      <c r="P40" s="3"/>
      <c r="Q40" s="24">
        <f t="shared" si="5"/>
        <v>0</v>
      </c>
      <c r="R40" s="3"/>
      <c r="S40" s="24">
        <f t="shared" si="6"/>
        <v>0</v>
      </c>
      <c r="T40" s="20">
        <f t="shared" si="7"/>
        <v>1.1501568000000004E-25</v>
      </c>
      <c r="U40" s="21">
        <f t="shared" si="8"/>
        <v>0</v>
      </c>
      <c r="V40" s="22">
        <f t="shared" si="9"/>
        <v>1.0649600000000003E-25</v>
      </c>
      <c r="W40" s="22">
        <f t="shared" si="10"/>
        <v>0</v>
      </c>
    </row>
    <row r="41" spans="1:33">
      <c r="D41" s="64"/>
      <c r="E41" s="3">
        <f t="shared" si="0"/>
        <v>0</v>
      </c>
      <c r="F41" s="64"/>
      <c r="G41" s="3">
        <f t="shared" si="11"/>
        <v>0</v>
      </c>
      <c r="H41" s="64"/>
      <c r="I41" s="3">
        <f t="shared" si="1"/>
        <v>0</v>
      </c>
      <c r="J41" s="64"/>
      <c r="K41" s="3">
        <f t="shared" si="2"/>
        <v>0</v>
      </c>
      <c r="L41" s="64"/>
      <c r="M41" s="3">
        <f t="shared" si="3"/>
        <v>0</v>
      </c>
      <c r="N41" s="64"/>
      <c r="O41" s="24">
        <f t="shared" si="4"/>
        <v>0</v>
      </c>
      <c r="P41" s="3"/>
      <c r="Q41" s="24">
        <f t="shared" si="5"/>
        <v>0</v>
      </c>
      <c r="R41" s="3"/>
      <c r="S41" s="24">
        <f t="shared" si="6"/>
        <v>0</v>
      </c>
      <c r="T41" s="20">
        <f t="shared" si="7"/>
        <v>1.1501568000000004E-25</v>
      </c>
      <c r="U41" s="21">
        <f t="shared" si="8"/>
        <v>0</v>
      </c>
      <c r="V41" s="22">
        <f t="shared" si="9"/>
        <v>1.0649600000000003E-25</v>
      </c>
      <c r="W41" s="22">
        <f t="shared" si="10"/>
        <v>0</v>
      </c>
    </row>
    <row r="42" spans="1:33" ht="15.75" customHeight="1">
      <c r="T42" s="20"/>
      <c r="U42" s="21"/>
      <c r="V42" s="22"/>
      <c r="W42" s="22"/>
    </row>
    <row r="43" spans="1:33" ht="15.75" customHeight="1">
      <c r="T43" s="20"/>
      <c r="U43" s="21"/>
      <c r="V43" s="22"/>
      <c r="W43" s="22"/>
    </row>
    <row r="44" spans="1:33" ht="15.75" customHeight="1">
      <c r="T44" s="20"/>
      <c r="U44" s="21"/>
      <c r="V44" s="22"/>
      <c r="W44" s="22"/>
    </row>
    <row r="45" spans="1:33" ht="15.75" customHeight="1">
      <c r="T45" s="20"/>
      <c r="U45" s="21"/>
      <c r="V45" s="22"/>
      <c r="W45" s="22"/>
    </row>
    <row r="46" spans="1:33" ht="15.75" customHeight="1">
      <c r="T46" s="20"/>
      <c r="U46" s="21"/>
      <c r="V46" s="22"/>
      <c r="W46" s="22"/>
    </row>
    <row r="47" spans="1:33" ht="15.75" customHeight="1">
      <c r="T47" s="20"/>
      <c r="U47" s="21"/>
      <c r="V47" s="22"/>
      <c r="W47" s="22"/>
    </row>
    <row r="48" spans="1:33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41 P5:P41 R5:R41" xr:uid="{00000000-0002-0000-1700-000000000000}">
      <formula1>"High,Low,None"</formula1>
    </dataValidation>
    <dataValidation type="list" allowBlank="1" showErrorMessage="1" sqref="B5:B40" xr:uid="{00000000-0002-0000-1700-000001000000}">
      <formula1>"Spoofing ,Tampering,Repudiation,Information Disclosure,Denial of Service,Elevation of Privilage"</formula1>
    </dataValidation>
    <dataValidation type="list" allowBlank="1" showErrorMessage="1" sqref="L5:L41" xr:uid="{00000000-0002-0000-1700-000002000000}">
      <formula1>"Unchanged,Changed"</formula1>
    </dataValidation>
    <dataValidation type="list" allowBlank="1" showErrorMessage="1" sqref="F5:F41" xr:uid="{00000000-0002-0000-1700-000003000000}">
      <formula1>"Low,High"</formula1>
    </dataValidation>
    <dataValidation type="list" allowBlank="1" showErrorMessage="1" sqref="D5:D41" xr:uid="{00000000-0002-0000-1700-000004000000}">
      <formula1>"Network,Adjacent Network,Local,Physical"</formula1>
    </dataValidation>
    <dataValidation type="list" allowBlank="1" showErrorMessage="1" sqref="A5:A30" xr:uid="{00000000-0002-0000-17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41" xr:uid="{00000000-0002-0000-1700-000006000000}">
      <formula1>"None,Required"</formula1>
    </dataValidation>
    <dataValidation type="list" allowBlank="1" showErrorMessage="1" sqref="H5:H41" xr:uid="{00000000-0002-0000-1700-000007000000}">
      <formula1>"None,Low,High"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6.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 ht="15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 ht="15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 ht="15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 ht="15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12" si="0">IF(D5="Network",0.85,IF(D5="Adjacent Network",0.62,IF(D5="Local",0.55,IF(D5="Physical",0.2,0))))</f>
        <v>0.85</v>
      </c>
      <c r="F5" s="17" t="s">
        <v>39</v>
      </c>
      <c r="G5" s="29">
        <f t="shared" ref="G5:G6" si="1">IF(F5="High",0.44,IF(F5="Low",0.77,0))</f>
        <v>0.44</v>
      </c>
      <c r="H5" s="17" t="s">
        <v>42</v>
      </c>
      <c r="I5" s="29">
        <f t="shared" ref="I5:I12" si="2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12" si="3">IF(J5="Required",0.62,IF(J5="None",0.85,0))</f>
        <v>0.62</v>
      </c>
      <c r="L5" s="17" t="s">
        <v>59</v>
      </c>
      <c r="M5" s="29">
        <f t="shared" ref="M5:M12" si="4">IF(L5="Changed",7.52,IF(L5="Unchanged",6.42,0))</f>
        <v>6.42</v>
      </c>
      <c r="N5" s="17" t="s">
        <v>42</v>
      </c>
      <c r="O5" s="17">
        <f t="shared" ref="O5:O12" si="5">IF(N5="High",0.56,IF(N5="Low",0.22,IF(N5="None",0,0)))</f>
        <v>0</v>
      </c>
      <c r="P5" s="17" t="s">
        <v>42</v>
      </c>
      <c r="Q5" s="17">
        <f t="shared" ref="Q5:Q12" si="6">IF(P5="High",0.56,IF(P5="Low",0.22,IF(P5="None",0,0)))</f>
        <v>0</v>
      </c>
      <c r="R5" s="17" t="s">
        <v>39</v>
      </c>
      <c r="S5" s="17">
        <f t="shared" ref="S5:S12" si="7">IF(R5="High",0.56,IF(R5="Low",0.22,IF(R5="None",0,0)))</f>
        <v>0.56000000000000005</v>
      </c>
      <c r="T5" s="20">
        <f t="shared" ref="T5:T12" si="8">IF(V5&lt;=0,0,IF(L5="Unchanged",MIN(W5+V5,10),MIN((W5+V5)*1.08,10)))</f>
        <v>5.2153455600000003</v>
      </c>
      <c r="U5" s="21">
        <f t="shared" ref="U5:U12" si="9">(1-((1-O5)*(1-Q5)*(1-S5)))</f>
        <v>0.56000000000000005</v>
      </c>
      <c r="V5" s="22">
        <f t="shared" ref="V5:V12" si="10">IF(L5="Unchanged",M5*U5,M5*(U5-0.029)-3.25*POWER(U5-0.02,15))</f>
        <v>3.5952000000000002</v>
      </c>
      <c r="W5" s="22">
        <f t="shared" ref="W5:W12" si="11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8" customHeight="1">
      <c r="A6" s="17" t="s">
        <v>35</v>
      </c>
      <c r="B6" s="19" t="s">
        <v>36</v>
      </c>
      <c r="C6" s="27" t="s">
        <v>37</v>
      </c>
      <c r="D6" s="19" t="s">
        <v>38</v>
      </c>
      <c r="E6" s="18">
        <f t="shared" si="0"/>
        <v>0.85</v>
      </c>
      <c r="F6" s="19" t="s">
        <v>39</v>
      </c>
      <c r="G6" s="18">
        <f t="shared" si="1"/>
        <v>0.44</v>
      </c>
      <c r="H6" s="19" t="s">
        <v>39</v>
      </c>
      <c r="I6" s="18">
        <f t="shared" si="2"/>
        <v>0.5</v>
      </c>
      <c r="J6" s="19" t="s">
        <v>40</v>
      </c>
      <c r="K6" s="18">
        <f t="shared" si="3"/>
        <v>0.62</v>
      </c>
      <c r="L6" s="19" t="s">
        <v>41</v>
      </c>
      <c r="M6" s="18">
        <f t="shared" si="4"/>
        <v>7.52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7.2475103892186867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0.95302679999999995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">
      <c r="A7" s="17" t="s">
        <v>43</v>
      </c>
      <c r="B7" s="17" t="s">
        <v>63</v>
      </c>
      <c r="C7" s="28" t="s">
        <v>64</v>
      </c>
      <c r="D7" s="17" t="s">
        <v>38</v>
      </c>
      <c r="E7" s="29">
        <f t="shared" si="0"/>
        <v>0.85</v>
      </c>
      <c r="F7" s="17" t="s">
        <v>39</v>
      </c>
      <c r="G7" s="29">
        <f t="shared" ref="G7:G12" si="12">IF(F7="Low",0.77,IF(F7="High",0.44,0))</f>
        <v>0.44</v>
      </c>
      <c r="H7" s="17" t="s">
        <v>47</v>
      </c>
      <c r="I7" s="29">
        <f t="shared" si="2"/>
        <v>0.68</v>
      </c>
      <c r="J7" s="17" t="s">
        <v>40</v>
      </c>
      <c r="K7" s="29">
        <f t="shared" si="3"/>
        <v>0.62</v>
      </c>
      <c r="L7" s="17" t="s">
        <v>41</v>
      </c>
      <c r="M7" s="29">
        <f t="shared" si="4"/>
        <v>7.52</v>
      </c>
      <c r="N7" s="17" t="s">
        <v>39</v>
      </c>
      <c r="O7" s="17">
        <f t="shared" si="5"/>
        <v>0.56000000000000005</v>
      </c>
      <c r="P7" s="17" t="s">
        <v>42</v>
      </c>
      <c r="Q7" s="17">
        <f t="shared" si="6"/>
        <v>0</v>
      </c>
      <c r="R7" s="17" t="s">
        <v>42</v>
      </c>
      <c r="S7" s="17">
        <f t="shared" si="7"/>
        <v>0</v>
      </c>
      <c r="T7" s="20">
        <f t="shared" si="8"/>
        <v>5.7120355715551225</v>
      </c>
      <c r="U7" s="21">
        <f t="shared" si="9"/>
        <v>0.56000000000000005</v>
      </c>
      <c r="V7" s="22">
        <f t="shared" si="10"/>
        <v>3.9928053775140029</v>
      </c>
      <c r="W7" s="22">
        <f t="shared" si="11"/>
        <v>1.2961164479999998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 ht="15">
      <c r="A8" s="17" t="s">
        <v>85</v>
      </c>
      <c r="B8" s="19" t="s">
        <v>44</v>
      </c>
      <c r="C8" s="28" t="s">
        <v>88</v>
      </c>
      <c r="D8" s="19" t="s">
        <v>38</v>
      </c>
      <c r="E8" s="18">
        <f t="shared" si="0"/>
        <v>0.85</v>
      </c>
      <c r="F8" s="19" t="s">
        <v>47</v>
      </c>
      <c r="G8" s="18">
        <f t="shared" si="12"/>
        <v>0.77</v>
      </c>
      <c r="H8" s="19" t="s">
        <v>42</v>
      </c>
      <c r="I8" s="18">
        <f t="shared" si="2"/>
        <v>0.85</v>
      </c>
      <c r="J8" s="19" t="s">
        <v>42</v>
      </c>
      <c r="K8" s="18">
        <f t="shared" si="3"/>
        <v>0.85</v>
      </c>
      <c r="L8" s="19" t="s">
        <v>59</v>
      </c>
      <c r="M8" s="18">
        <f t="shared" si="4"/>
        <v>6.42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39</v>
      </c>
      <c r="S8" s="19">
        <f t="shared" si="7"/>
        <v>0.56000000000000005</v>
      </c>
      <c r="T8" s="20">
        <f t="shared" si="8"/>
        <v>9.760161495000002</v>
      </c>
      <c r="U8" s="21">
        <f t="shared" si="9"/>
        <v>0.91481600000000007</v>
      </c>
      <c r="V8" s="22">
        <f t="shared" si="10"/>
        <v>5.8731187200000008</v>
      </c>
      <c r="W8" s="22">
        <f t="shared" si="11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">
      <c r="A9" s="66" t="s">
        <v>60</v>
      </c>
      <c r="B9" s="66" t="s">
        <v>36</v>
      </c>
      <c r="C9" s="92" t="s">
        <v>61</v>
      </c>
      <c r="D9" s="66" t="s">
        <v>38</v>
      </c>
      <c r="E9" s="67">
        <f t="shared" si="0"/>
        <v>0.85</v>
      </c>
      <c r="F9" s="66" t="s">
        <v>47</v>
      </c>
      <c r="G9" s="67">
        <f t="shared" si="12"/>
        <v>0.77</v>
      </c>
      <c r="H9" s="66" t="s">
        <v>47</v>
      </c>
      <c r="I9" s="67">
        <f t="shared" si="2"/>
        <v>0.68</v>
      </c>
      <c r="J9" s="66" t="s">
        <v>40</v>
      </c>
      <c r="K9" s="67">
        <f t="shared" si="3"/>
        <v>0.62</v>
      </c>
      <c r="L9" s="66" t="s">
        <v>41</v>
      </c>
      <c r="M9" s="67">
        <f t="shared" si="4"/>
        <v>7.52</v>
      </c>
      <c r="N9" s="66" t="s">
        <v>39</v>
      </c>
      <c r="O9" s="66">
        <f t="shared" si="5"/>
        <v>0.56000000000000005</v>
      </c>
      <c r="P9" s="66" t="s">
        <v>39</v>
      </c>
      <c r="Q9" s="66">
        <f t="shared" si="6"/>
        <v>0.56000000000000005</v>
      </c>
      <c r="R9" s="66" t="s">
        <v>42</v>
      </c>
      <c r="S9" s="66">
        <f t="shared" si="7"/>
        <v>0</v>
      </c>
      <c r="T9" s="68">
        <f t="shared" si="8"/>
        <v>8.6679015319386874</v>
      </c>
      <c r="U9" s="69">
        <f t="shared" si="9"/>
        <v>0.80640000000000001</v>
      </c>
      <c r="V9" s="70">
        <f t="shared" si="10"/>
        <v>5.7576309677950803</v>
      </c>
      <c r="W9" s="70">
        <f t="shared" si="11"/>
        <v>2.2682037840000002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spans="1:34" ht="15">
      <c r="A10" s="66" t="s">
        <v>62</v>
      </c>
      <c r="B10" s="66" t="s">
        <v>36</v>
      </c>
      <c r="C10" s="76"/>
      <c r="D10" s="66" t="s">
        <v>38</v>
      </c>
      <c r="E10" s="67">
        <f t="shared" si="0"/>
        <v>0.85</v>
      </c>
      <c r="F10" s="66" t="s">
        <v>47</v>
      </c>
      <c r="G10" s="67">
        <f t="shared" si="12"/>
        <v>0.77</v>
      </c>
      <c r="H10" s="66" t="s">
        <v>47</v>
      </c>
      <c r="I10" s="67">
        <f t="shared" si="2"/>
        <v>0.68</v>
      </c>
      <c r="J10" s="66" t="s">
        <v>40</v>
      </c>
      <c r="K10" s="67">
        <f t="shared" si="3"/>
        <v>0.62</v>
      </c>
      <c r="L10" s="66" t="s">
        <v>41</v>
      </c>
      <c r="M10" s="67">
        <f t="shared" si="4"/>
        <v>7.52</v>
      </c>
      <c r="N10" s="66" t="s">
        <v>39</v>
      </c>
      <c r="O10" s="66">
        <f t="shared" si="5"/>
        <v>0.56000000000000005</v>
      </c>
      <c r="P10" s="66" t="s">
        <v>39</v>
      </c>
      <c r="Q10" s="66">
        <f t="shared" si="6"/>
        <v>0.56000000000000005</v>
      </c>
      <c r="R10" s="66" t="s">
        <v>42</v>
      </c>
      <c r="S10" s="66">
        <f t="shared" si="7"/>
        <v>0</v>
      </c>
      <c r="T10" s="68">
        <f t="shared" si="8"/>
        <v>8.6679015319386874</v>
      </c>
      <c r="U10" s="69">
        <f t="shared" si="9"/>
        <v>0.80640000000000001</v>
      </c>
      <c r="V10" s="70">
        <f t="shared" si="10"/>
        <v>5.7576309677950803</v>
      </c>
      <c r="W10" s="70">
        <f t="shared" si="11"/>
        <v>2.2682037840000002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 spans="1:34" ht="45">
      <c r="A11" s="17" t="s">
        <v>85</v>
      </c>
      <c r="B11" s="19" t="s">
        <v>51</v>
      </c>
      <c r="C11" s="28" t="s">
        <v>142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39</v>
      </c>
      <c r="I11" s="18">
        <f t="shared" si="2"/>
        <v>0.27</v>
      </c>
      <c r="J11" s="19" t="s">
        <v>42</v>
      </c>
      <c r="K11" s="18">
        <f t="shared" si="3"/>
        <v>0.85</v>
      </c>
      <c r="L11" s="19" t="s">
        <v>59</v>
      </c>
      <c r="M11" s="18">
        <f t="shared" si="4"/>
        <v>6.42</v>
      </c>
      <c r="N11" s="19" t="s">
        <v>39</v>
      </c>
      <c r="O11" s="19">
        <f t="shared" si="5"/>
        <v>0.56000000000000005</v>
      </c>
      <c r="P11" s="19" t="s">
        <v>42</v>
      </c>
      <c r="Q11" s="19">
        <f t="shared" si="6"/>
        <v>0</v>
      </c>
      <c r="R11" s="19" t="s">
        <v>42</v>
      </c>
      <c r="S11" s="19">
        <f t="shared" si="7"/>
        <v>0</v>
      </c>
      <c r="T11" s="20">
        <f t="shared" si="8"/>
        <v>4.8299077050000001</v>
      </c>
      <c r="U11" s="21">
        <f t="shared" si="9"/>
        <v>0.56000000000000005</v>
      </c>
      <c r="V11" s="22">
        <f t="shared" si="10"/>
        <v>3.5952000000000002</v>
      </c>
      <c r="W11" s="22">
        <f t="shared" si="11"/>
        <v>1.2347077050000002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">
      <c r="A12" s="17" t="s">
        <v>77</v>
      </c>
      <c r="B12" s="17" t="s">
        <v>63</v>
      </c>
      <c r="C12" s="28" t="s">
        <v>78</v>
      </c>
      <c r="D12" s="17" t="s">
        <v>38</v>
      </c>
      <c r="E12" s="29">
        <f t="shared" si="0"/>
        <v>0.85</v>
      </c>
      <c r="F12" s="17" t="s">
        <v>47</v>
      </c>
      <c r="G12" s="29">
        <f t="shared" si="12"/>
        <v>0.77</v>
      </c>
      <c r="H12" s="17" t="s">
        <v>47</v>
      </c>
      <c r="I12" s="29">
        <f t="shared" si="2"/>
        <v>0.68</v>
      </c>
      <c r="J12" s="17" t="s">
        <v>40</v>
      </c>
      <c r="K12" s="29">
        <f t="shared" si="3"/>
        <v>0.62</v>
      </c>
      <c r="L12" s="17" t="s">
        <v>41</v>
      </c>
      <c r="M12" s="29">
        <f t="shared" si="4"/>
        <v>7.52</v>
      </c>
      <c r="N12" s="17" t="s">
        <v>39</v>
      </c>
      <c r="O12" s="17">
        <f t="shared" si="5"/>
        <v>0.56000000000000005</v>
      </c>
      <c r="P12" s="17" t="s">
        <v>39</v>
      </c>
      <c r="Q12" s="17">
        <f t="shared" si="6"/>
        <v>0.56000000000000005</v>
      </c>
      <c r="R12" s="17" t="s">
        <v>39</v>
      </c>
      <c r="S12" s="17">
        <f t="shared" si="7"/>
        <v>0.56000000000000005</v>
      </c>
      <c r="T12" s="20">
        <f t="shared" si="8"/>
        <v>8.9812090175880819</v>
      </c>
      <c r="U12" s="21">
        <f t="shared" si="9"/>
        <v>0.91481600000000007</v>
      </c>
      <c r="V12" s="22">
        <f t="shared" si="10"/>
        <v>6.0477304915445185</v>
      </c>
      <c r="W12" s="22">
        <f t="shared" si="11"/>
        <v>2.2682037840000002</v>
      </c>
      <c r="X12" s="29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 ht="1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>
        <f>SUM(T5:T12)</f>
        <v>59.081972802239278</v>
      </c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 ht="1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 ht="1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 ht="1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 ht="1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 ht="1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 ht="1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 ht="1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 ht="1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 ht="1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 ht="1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 ht="1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 ht="1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 ht="1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 ht="15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 ht="15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15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15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15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 ht="15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 ht="15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 ht="15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 ht="15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 ht="15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 ht="15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">
      <c r="T42" s="20"/>
      <c r="U42" s="21"/>
      <c r="V42" s="22"/>
      <c r="W42" s="22"/>
    </row>
    <row r="43" spans="1:34" ht="15">
      <c r="T43" s="20"/>
      <c r="U43" s="21"/>
      <c r="V43" s="22"/>
      <c r="W43" s="22"/>
    </row>
    <row r="44" spans="1:34" ht="15">
      <c r="T44" s="20"/>
      <c r="U44" s="21"/>
      <c r="V44" s="22"/>
      <c r="W44" s="22"/>
    </row>
    <row r="45" spans="1:34" ht="15">
      <c r="T45" s="20"/>
      <c r="U45" s="21"/>
      <c r="V45" s="22"/>
      <c r="W45" s="22"/>
    </row>
    <row r="46" spans="1:34" ht="15">
      <c r="T46" s="20"/>
      <c r="U46" s="21"/>
      <c r="V46" s="22"/>
      <c r="W46" s="22"/>
    </row>
    <row r="47" spans="1:34" ht="15">
      <c r="T47" s="20"/>
      <c r="U47" s="21"/>
      <c r="V47" s="22"/>
      <c r="W47" s="22"/>
    </row>
    <row r="48" spans="1:34" ht="15">
      <c r="T48" s="20"/>
      <c r="U48" s="21"/>
      <c r="V48" s="22"/>
      <c r="W48" s="22"/>
    </row>
    <row r="49" spans="20:23" ht="15">
      <c r="T49" s="20"/>
      <c r="U49" s="21"/>
      <c r="V49" s="22"/>
      <c r="W49" s="22"/>
    </row>
    <row r="50" spans="20:23" ht="15">
      <c r="T50" s="20"/>
      <c r="U50" s="21"/>
      <c r="V50" s="22"/>
      <c r="W50" s="22"/>
    </row>
    <row r="51" spans="20:23" ht="15">
      <c r="T51" s="20"/>
      <c r="U51" s="21"/>
      <c r="V51" s="22"/>
      <c r="W51" s="22"/>
    </row>
    <row r="52" spans="20:23" ht="15">
      <c r="T52" s="20"/>
      <c r="U52" s="21"/>
      <c r="V52" s="22"/>
      <c r="W52" s="22"/>
    </row>
    <row r="53" spans="20:23" ht="15">
      <c r="T53" s="20"/>
      <c r="U53" s="21"/>
      <c r="V53" s="22"/>
      <c r="W53" s="22"/>
    </row>
    <row r="54" spans="20:23" ht="15">
      <c r="T54" s="20"/>
      <c r="U54" s="21"/>
      <c r="V54" s="22"/>
      <c r="W54" s="22"/>
    </row>
    <row r="55" spans="20:23" ht="15">
      <c r="T55" s="20"/>
      <c r="U55" s="21"/>
      <c r="V55" s="22"/>
      <c r="W55" s="22"/>
    </row>
    <row r="56" spans="20:23" ht="15">
      <c r="T56" s="20"/>
      <c r="U56" s="21"/>
      <c r="V56" s="22"/>
      <c r="W56" s="22"/>
    </row>
    <row r="57" spans="20:23" ht="15">
      <c r="T57" s="20"/>
      <c r="U57" s="21"/>
      <c r="V57" s="22"/>
      <c r="W57" s="22"/>
    </row>
    <row r="58" spans="20:23" ht="15">
      <c r="T58" s="20"/>
      <c r="U58" s="21"/>
      <c r="V58" s="22"/>
      <c r="W58" s="22"/>
    </row>
    <row r="59" spans="20:23" ht="15">
      <c r="T59" s="20"/>
      <c r="U59" s="21"/>
      <c r="V59" s="22"/>
      <c r="W59" s="22"/>
    </row>
    <row r="60" spans="20:23" ht="15">
      <c r="T60" s="20"/>
      <c r="U60" s="21"/>
      <c r="V60" s="22"/>
      <c r="W60" s="22"/>
    </row>
    <row r="61" spans="20:23" ht="15">
      <c r="T61" s="20"/>
      <c r="U61" s="21"/>
      <c r="V61" s="22"/>
      <c r="W61" s="22"/>
    </row>
    <row r="62" spans="20:23" ht="15">
      <c r="T62" s="20"/>
      <c r="U62" s="21"/>
      <c r="V62" s="22"/>
      <c r="W62" s="22"/>
    </row>
    <row r="63" spans="20:23" ht="15">
      <c r="T63" s="20"/>
      <c r="U63" s="21"/>
      <c r="V63" s="22"/>
      <c r="W63" s="22"/>
    </row>
    <row r="64" spans="20:23" ht="15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9:C10"/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5" xr:uid="{00000000-0002-0000-18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2 P5:P12 R5:R12" xr:uid="{00000000-0002-0000-1800-000001000000}">
      <formula1>"High,Low,None"</formula1>
    </dataValidation>
    <dataValidation type="list" allowBlank="1" showErrorMessage="1" sqref="B5:B12" xr:uid="{00000000-0002-0000-1800-000002000000}">
      <formula1>"Spoofing ,Tampering,Repudiation,Information Disclosure,Denial of Service,Elevation of Privilage"</formula1>
    </dataValidation>
    <dataValidation type="list" allowBlank="1" showErrorMessage="1" sqref="L5:L12" xr:uid="{00000000-0002-0000-1800-000003000000}">
      <formula1>"Unchanged,Changed"</formula1>
    </dataValidation>
    <dataValidation type="list" allowBlank="1" showErrorMessage="1" sqref="F5:F12" xr:uid="{00000000-0002-0000-1800-000004000000}">
      <formula1>"Low,High"</formula1>
    </dataValidation>
    <dataValidation type="list" allowBlank="1" showErrorMessage="1" sqref="D5:D12" xr:uid="{00000000-0002-0000-1800-000005000000}">
      <formula1>"Network,Adjacent Network,Local,Physical"</formula1>
    </dataValidation>
    <dataValidation type="list" allowBlank="1" showErrorMessage="1" sqref="A8 A11" xr:uid="{00000000-0002-0000-18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2" xr:uid="{00000000-0002-0000-1800-000007000000}">
      <formula1>"None,Required"</formula1>
    </dataValidation>
    <dataValidation type="list" allowBlank="1" showErrorMessage="1" sqref="H5:H12" xr:uid="{00000000-0002-0000-1800-000008000000}">
      <formula1>"None,Low,High"</formula1>
    </dataValidation>
    <dataValidation type="list" allowBlank="1" showErrorMessage="1" sqref="A6:A7 A9:A10 A12" xr:uid="{00000000-0002-0000-18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9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 ht="15.75" customHeight="1">
      <c r="A5" s="17" t="s">
        <v>56</v>
      </c>
      <c r="B5" s="17" t="s">
        <v>57</v>
      </c>
      <c r="C5" s="28" t="s">
        <v>58</v>
      </c>
      <c r="D5" s="17" t="s">
        <v>38</v>
      </c>
      <c r="E5" s="29">
        <f t="shared" ref="E5:E13" si="0">IF(D5="Network",0.85,IF(D5="Adjacent Network",0.62,IF(D5="Local",0.55,IF(D5="Physical",0.2,0))))</f>
        <v>0.85</v>
      </c>
      <c r="F5" s="17" t="s">
        <v>39</v>
      </c>
      <c r="G5" s="29">
        <f>IF(F5="High",0.44,IF(F5="Low",0.77,0))</f>
        <v>0.44</v>
      </c>
      <c r="H5" s="17" t="s">
        <v>42</v>
      </c>
      <c r="I5" s="29">
        <f t="shared" ref="I5:I13" si="1">IF(H5="None",0.85,IF(AND(H5="Low",L5="Unchanged"),0.62,IF(AND(H5="Low",L5="Changed"),0.68,IF(AND(H5="High",L5="Changed"),0.5,IF(AND(H5="High",L5="Unchanged"),0.27,0)))))</f>
        <v>0.85</v>
      </c>
      <c r="J5" s="17" t="s">
        <v>40</v>
      </c>
      <c r="K5" s="29">
        <f t="shared" ref="K5:K13" si="2">IF(J5="Required",0.62,IF(J5="None",0.85,0))</f>
        <v>0.62</v>
      </c>
      <c r="L5" s="17" t="s">
        <v>59</v>
      </c>
      <c r="M5" s="29">
        <f t="shared" ref="M5:M13" si="3">IF(L5="Changed",7.52,IF(L5="Unchanged",6.42,0))</f>
        <v>6.42</v>
      </c>
      <c r="N5" s="17" t="s">
        <v>42</v>
      </c>
      <c r="O5" s="17">
        <f t="shared" ref="O5:O13" si="4">IF(N5="High",0.56,IF(N5="Low",0.22,IF(N5="None",0,0)))</f>
        <v>0</v>
      </c>
      <c r="P5" s="17" t="s">
        <v>42</v>
      </c>
      <c r="Q5" s="17">
        <f t="shared" ref="Q5:Q13" si="5">IF(P5="High",0.56,IF(P5="Low",0.22,IF(P5="None",0,0)))</f>
        <v>0</v>
      </c>
      <c r="R5" s="17" t="s">
        <v>39</v>
      </c>
      <c r="S5" s="17">
        <f t="shared" ref="S5:S13" si="6">IF(R5="High",0.56,IF(R5="Low",0.22,IF(R5="None",0,0)))</f>
        <v>0.56000000000000005</v>
      </c>
      <c r="T5" s="20">
        <f t="shared" ref="T5:T13" si="7">IF(V5&lt;=0,0,IF(L5="Unchanged",MIN(W5+V5,10),MIN((W5+V5)*1.08,10)))</f>
        <v>5.2153455600000003</v>
      </c>
      <c r="U5" s="21">
        <f t="shared" ref="U5:U13" si="8">(1-((1-O5)*(1-Q5)*(1-S5)))</f>
        <v>0.56000000000000005</v>
      </c>
      <c r="V5" s="22">
        <f t="shared" ref="V5:V13" si="9">IF(L5="Unchanged",M5*U5,M5*(U5-0.029)-3.25*POWER(U5-0.02,15))</f>
        <v>3.5952000000000002</v>
      </c>
      <c r="W5" s="22">
        <f t="shared" ref="W5:W13" si="10">8.22*E5*G5*I5*K5</f>
        <v>1.6201455599999999</v>
      </c>
      <c r="X5" s="29"/>
      <c r="Y5" s="29"/>
      <c r="Z5" s="29"/>
      <c r="AA5" s="29"/>
      <c r="AB5" s="29"/>
      <c r="AC5" s="29"/>
      <c r="AD5" s="29"/>
      <c r="AE5" s="29"/>
      <c r="AF5" s="29"/>
      <c r="AG5" s="30"/>
      <c r="AH5" s="30"/>
    </row>
    <row r="6" spans="1:34" ht="15.75" customHeight="1">
      <c r="A6" s="17" t="s">
        <v>43</v>
      </c>
      <c r="B6" s="17" t="s">
        <v>63</v>
      </c>
      <c r="C6" s="28" t="s">
        <v>64</v>
      </c>
      <c r="D6" s="17" t="s">
        <v>38</v>
      </c>
      <c r="E6" s="29">
        <f t="shared" si="0"/>
        <v>0.85</v>
      </c>
      <c r="F6" s="17" t="s">
        <v>39</v>
      </c>
      <c r="G6" s="29">
        <f t="shared" ref="G6:G13" si="11">IF(F6="Low",0.77,IF(F6="High",0.44,0))</f>
        <v>0.44</v>
      </c>
      <c r="H6" s="17" t="s">
        <v>47</v>
      </c>
      <c r="I6" s="29">
        <f t="shared" si="1"/>
        <v>0.68</v>
      </c>
      <c r="J6" s="17" t="s">
        <v>40</v>
      </c>
      <c r="K6" s="29">
        <f t="shared" si="2"/>
        <v>0.62</v>
      </c>
      <c r="L6" s="17" t="s">
        <v>41</v>
      </c>
      <c r="M6" s="29">
        <f t="shared" si="3"/>
        <v>7.52</v>
      </c>
      <c r="N6" s="17" t="s">
        <v>39</v>
      </c>
      <c r="O6" s="17">
        <f t="shared" si="4"/>
        <v>0.56000000000000005</v>
      </c>
      <c r="P6" s="17" t="s">
        <v>42</v>
      </c>
      <c r="Q6" s="17">
        <f t="shared" si="5"/>
        <v>0</v>
      </c>
      <c r="R6" s="17" t="s">
        <v>42</v>
      </c>
      <c r="S6" s="17">
        <f t="shared" si="6"/>
        <v>0</v>
      </c>
      <c r="T6" s="20">
        <f t="shared" si="7"/>
        <v>5.7120355715551225</v>
      </c>
      <c r="U6" s="21">
        <f t="shared" si="8"/>
        <v>0.56000000000000005</v>
      </c>
      <c r="V6" s="22">
        <f t="shared" si="9"/>
        <v>3.9928053775140029</v>
      </c>
      <c r="W6" s="22">
        <f t="shared" si="10"/>
        <v>1.2961164479999998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>
      <c r="A7" s="17" t="s">
        <v>85</v>
      </c>
      <c r="B7" s="19" t="s">
        <v>51</v>
      </c>
      <c r="C7" s="45" t="s">
        <v>143</v>
      </c>
      <c r="D7" s="19" t="s">
        <v>38</v>
      </c>
      <c r="E7" s="18">
        <f t="shared" si="0"/>
        <v>0.85</v>
      </c>
      <c r="F7" s="19" t="s">
        <v>47</v>
      </c>
      <c r="G7" s="18">
        <f t="shared" si="11"/>
        <v>0.77</v>
      </c>
      <c r="H7" s="19" t="s">
        <v>39</v>
      </c>
      <c r="I7" s="18">
        <f t="shared" si="1"/>
        <v>0.27</v>
      </c>
      <c r="J7" s="19" t="s">
        <v>42</v>
      </c>
      <c r="K7" s="18">
        <f t="shared" si="2"/>
        <v>0.85</v>
      </c>
      <c r="L7" s="19" t="s">
        <v>59</v>
      </c>
      <c r="M7" s="18">
        <f t="shared" si="3"/>
        <v>6.42</v>
      </c>
      <c r="N7" s="19" t="s">
        <v>39</v>
      </c>
      <c r="O7" s="19">
        <f t="shared" si="4"/>
        <v>0.56000000000000005</v>
      </c>
      <c r="P7" s="19" t="s">
        <v>42</v>
      </c>
      <c r="Q7" s="19">
        <f t="shared" si="5"/>
        <v>0</v>
      </c>
      <c r="R7" s="19" t="s">
        <v>42</v>
      </c>
      <c r="S7" s="19">
        <f t="shared" si="6"/>
        <v>0</v>
      </c>
      <c r="T7" s="20">
        <f t="shared" si="7"/>
        <v>4.8299077050000001</v>
      </c>
      <c r="U7" s="21">
        <f t="shared" si="8"/>
        <v>0.56000000000000005</v>
      </c>
      <c r="V7" s="22">
        <f t="shared" si="9"/>
        <v>3.5952000000000002</v>
      </c>
      <c r="W7" s="22">
        <f t="shared" si="10"/>
        <v>1.2347077050000002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.75" customHeight="1">
      <c r="A8" s="17" t="s">
        <v>60</v>
      </c>
      <c r="B8" s="17" t="s">
        <v>36</v>
      </c>
      <c r="C8" s="82" t="s">
        <v>61</v>
      </c>
      <c r="D8" s="17" t="s">
        <v>38</v>
      </c>
      <c r="E8" s="29">
        <f t="shared" si="0"/>
        <v>0.85</v>
      </c>
      <c r="F8" s="17" t="s">
        <v>47</v>
      </c>
      <c r="G8" s="29">
        <f t="shared" si="11"/>
        <v>0.77</v>
      </c>
      <c r="H8" s="17" t="s">
        <v>47</v>
      </c>
      <c r="I8" s="29">
        <f t="shared" si="1"/>
        <v>0.68</v>
      </c>
      <c r="J8" s="17" t="s">
        <v>40</v>
      </c>
      <c r="K8" s="29">
        <f t="shared" si="2"/>
        <v>0.62</v>
      </c>
      <c r="L8" s="17" t="s">
        <v>41</v>
      </c>
      <c r="M8" s="29">
        <f t="shared" si="3"/>
        <v>7.52</v>
      </c>
      <c r="N8" s="17" t="s">
        <v>39</v>
      </c>
      <c r="O8" s="17">
        <f t="shared" si="4"/>
        <v>0.56000000000000005</v>
      </c>
      <c r="P8" s="17" t="s">
        <v>39</v>
      </c>
      <c r="Q8" s="17">
        <f t="shared" si="5"/>
        <v>0.56000000000000005</v>
      </c>
      <c r="R8" s="17" t="s">
        <v>42</v>
      </c>
      <c r="S8" s="17">
        <f t="shared" si="6"/>
        <v>0</v>
      </c>
      <c r="T8" s="20">
        <f t="shared" si="7"/>
        <v>8.6679015319386874</v>
      </c>
      <c r="U8" s="21">
        <f t="shared" si="8"/>
        <v>0.80640000000000001</v>
      </c>
      <c r="V8" s="22">
        <f t="shared" si="9"/>
        <v>5.7576309677950803</v>
      </c>
      <c r="W8" s="22">
        <f t="shared" si="10"/>
        <v>2.2682037840000002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 ht="15.75" customHeight="1">
      <c r="A9" s="17" t="s">
        <v>62</v>
      </c>
      <c r="B9" s="17" t="s">
        <v>36</v>
      </c>
      <c r="C9" s="76"/>
      <c r="D9" s="17" t="s">
        <v>38</v>
      </c>
      <c r="E9" s="29">
        <f t="shared" si="0"/>
        <v>0.85</v>
      </c>
      <c r="F9" s="17" t="s">
        <v>47</v>
      </c>
      <c r="G9" s="29">
        <f t="shared" si="11"/>
        <v>0.77</v>
      </c>
      <c r="H9" s="17" t="s">
        <v>47</v>
      </c>
      <c r="I9" s="29">
        <f t="shared" si="1"/>
        <v>0.68</v>
      </c>
      <c r="J9" s="17" t="s">
        <v>40</v>
      </c>
      <c r="K9" s="29">
        <f t="shared" si="2"/>
        <v>0.62</v>
      </c>
      <c r="L9" s="17" t="s">
        <v>41</v>
      </c>
      <c r="M9" s="29">
        <f t="shared" si="3"/>
        <v>7.52</v>
      </c>
      <c r="N9" s="17" t="s">
        <v>39</v>
      </c>
      <c r="O9" s="17">
        <f t="shared" si="4"/>
        <v>0.56000000000000005</v>
      </c>
      <c r="P9" s="17" t="s">
        <v>39</v>
      </c>
      <c r="Q9" s="17">
        <f t="shared" si="5"/>
        <v>0.56000000000000005</v>
      </c>
      <c r="R9" s="17" t="s">
        <v>42</v>
      </c>
      <c r="S9" s="17">
        <f t="shared" si="6"/>
        <v>0</v>
      </c>
      <c r="T9" s="20">
        <f t="shared" si="7"/>
        <v>8.6679015319386874</v>
      </c>
      <c r="U9" s="21">
        <f t="shared" si="8"/>
        <v>0.80640000000000001</v>
      </c>
      <c r="V9" s="22">
        <f t="shared" si="9"/>
        <v>5.7576309677950803</v>
      </c>
      <c r="W9" s="22">
        <f t="shared" si="10"/>
        <v>2.2682037840000002</v>
      </c>
      <c r="X9" s="29"/>
      <c r="Y9" s="29"/>
      <c r="Z9" s="29"/>
      <c r="AA9" s="29"/>
      <c r="AB9" s="29"/>
      <c r="AC9" s="29"/>
      <c r="AD9" s="29"/>
      <c r="AE9" s="29"/>
      <c r="AF9" s="29"/>
      <c r="AG9" s="30"/>
      <c r="AH9" s="30"/>
    </row>
    <row r="10" spans="1:34">
      <c r="A10" s="17" t="s">
        <v>83</v>
      </c>
      <c r="B10" s="19" t="s">
        <v>36</v>
      </c>
      <c r="C10" s="27" t="s">
        <v>103</v>
      </c>
      <c r="D10" s="19" t="s">
        <v>66</v>
      </c>
      <c r="E10" s="18">
        <f t="shared" si="0"/>
        <v>0.55000000000000004</v>
      </c>
      <c r="F10" s="19" t="s">
        <v>47</v>
      </c>
      <c r="G10" s="18">
        <f t="shared" si="11"/>
        <v>0.77</v>
      </c>
      <c r="H10" s="19" t="s">
        <v>39</v>
      </c>
      <c r="I10" s="18">
        <f t="shared" si="1"/>
        <v>0.5</v>
      </c>
      <c r="J10" s="19" t="s">
        <v>42</v>
      </c>
      <c r="K10" s="18">
        <f t="shared" si="2"/>
        <v>0.85</v>
      </c>
      <c r="L10" s="19" t="s">
        <v>41</v>
      </c>
      <c r="M10" s="18">
        <f t="shared" si="3"/>
        <v>7.52</v>
      </c>
      <c r="N10" s="19" t="s">
        <v>39</v>
      </c>
      <c r="O10" s="19">
        <f t="shared" si="4"/>
        <v>0.56000000000000005</v>
      </c>
      <c r="P10" s="19" t="s">
        <v>39</v>
      </c>
      <c r="Q10" s="19">
        <f t="shared" si="5"/>
        <v>0.56000000000000005</v>
      </c>
      <c r="R10" s="19" t="s">
        <v>39</v>
      </c>
      <c r="S10" s="19">
        <f t="shared" si="6"/>
        <v>0.56000000000000005</v>
      </c>
      <c r="T10" s="20">
        <f t="shared" si="7"/>
        <v>8.1294059608680804</v>
      </c>
      <c r="U10" s="21">
        <f t="shared" si="8"/>
        <v>0.91481600000000007</v>
      </c>
      <c r="V10" s="22">
        <f t="shared" si="9"/>
        <v>6.0477304915445185</v>
      </c>
      <c r="W10" s="22">
        <f t="shared" si="10"/>
        <v>1.4794972500000001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104</v>
      </c>
      <c r="B11" s="19" t="s">
        <v>51</v>
      </c>
      <c r="C11" s="19" t="s">
        <v>105</v>
      </c>
      <c r="D11" s="19" t="s">
        <v>38</v>
      </c>
      <c r="E11" s="18">
        <f t="shared" si="0"/>
        <v>0.85</v>
      </c>
      <c r="F11" s="19" t="s">
        <v>47</v>
      </c>
      <c r="G11" s="18">
        <f t="shared" si="11"/>
        <v>0.77</v>
      </c>
      <c r="H11" s="19" t="s">
        <v>47</v>
      </c>
      <c r="I11" s="18">
        <f t="shared" si="1"/>
        <v>0.62</v>
      </c>
      <c r="J11" s="19" t="s">
        <v>42</v>
      </c>
      <c r="K11" s="18">
        <f t="shared" si="2"/>
        <v>0.85</v>
      </c>
      <c r="L11" s="19" t="s">
        <v>59</v>
      </c>
      <c r="M11" s="18">
        <f t="shared" si="3"/>
        <v>6.42</v>
      </c>
      <c r="N11" s="19" t="s">
        <v>39</v>
      </c>
      <c r="O11" s="19">
        <f t="shared" si="4"/>
        <v>0.56000000000000005</v>
      </c>
      <c r="P11" s="19" t="s">
        <v>39</v>
      </c>
      <c r="Q11" s="19">
        <f t="shared" si="5"/>
        <v>0.56000000000000005</v>
      </c>
      <c r="R11" s="19" t="s">
        <v>42</v>
      </c>
      <c r="S11" s="19">
        <f t="shared" si="6"/>
        <v>0</v>
      </c>
      <c r="T11" s="20">
        <f t="shared" si="7"/>
        <v>8.0123427300000003</v>
      </c>
      <c r="U11" s="21">
        <f t="shared" si="8"/>
        <v>0.80640000000000001</v>
      </c>
      <c r="V11" s="22">
        <f t="shared" si="9"/>
        <v>5.1770880000000004</v>
      </c>
      <c r="W11" s="22">
        <f t="shared" si="10"/>
        <v>2.8352547299999999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.75" customHeight="1">
      <c r="A12" s="17" t="s">
        <v>50</v>
      </c>
      <c r="B12" s="17" t="s">
        <v>44</v>
      </c>
      <c r="C12" s="28" t="s">
        <v>55</v>
      </c>
      <c r="D12" s="17" t="s">
        <v>38</v>
      </c>
      <c r="E12" s="29">
        <f t="shared" si="0"/>
        <v>0.85</v>
      </c>
      <c r="F12" s="17" t="s">
        <v>39</v>
      </c>
      <c r="G12" s="29">
        <f t="shared" si="11"/>
        <v>0.44</v>
      </c>
      <c r="H12" s="17" t="s">
        <v>47</v>
      </c>
      <c r="I12" s="29">
        <f t="shared" si="1"/>
        <v>0.68</v>
      </c>
      <c r="J12" s="17" t="s">
        <v>40</v>
      </c>
      <c r="K12" s="29">
        <f t="shared" si="2"/>
        <v>0.62</v>
      </c>
      <c r="L12" s="17" t="s">
        <v>41</v>
      </c>
      <c r="M12" s="29">
        <f t="shared" si="3"/>
        <v>7.52</v>
      </c>
      <c r="N12" s="17" t="s">
        <v>39</v>
      </c>
      <c r="O12" s="17">
        <f t="shared" si="4"/>
        <v>0.56000000000000005</v>
      </c>
      <c r="P12" s="17" t="s">
        <v>42</v>
      </c>
      <c r="Q12" s="17">
        <f t="shared" si="5"/>
        <v>0</v>
      </c>
      <c r="R12" s="17" t="s">
        <v>42</v>
      </c>
      <c r="S12" s="17">
        <f t="shared" si="6"/>
        <v>0</v>
      </c>
      <c r="T12" s="20">
        <f t="shared" si="7"/>
        <v>5.7120355715551225</v>
      </c>
      <c r="U12" s="21">
        <f t="shared" si="8"/>
        <v>0.56000000000000005</v>
      </c>
      <c r="V12" s="22">
        <f t="shared" si="9"/>
        <v>3.9928053775140029</v>
      </c>
      <c r="W12" s="22">
        <f t="shared" si="10"/>
        <v>1.2961164479999998</v>
      </c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30"/>
    </row>
    <row r="13" spans="1:34">
      <c r="A13" s="17" t="s">
        <v>43</v>
      </c>
      <c r="B13" s="17" t="s">
        <v>73</v>
      </c>
      <c r="C13" s="28" t="s">
        <v>74</v>
      </c>
      <c r="D13" s="17" t="s">
        <v>38</v>
      </c>
      <c r="E13" s="29">
        <f t="shared" si="0"/>
        <v>0.85</v>
      </c>
      <c r="F13" s="17" t="s">
        <v>39</v>
      </c>
      <c r="G13" s="29">
        <f t="shared" si="11"/>
        <v>0.44</v>
      </c>
      <c r="H13" s="17" t="s">
        <v>42</v>
      </c>
      <c r="I13" s="29">
        <f t="shared" si="1"/>
        <v>0.85</v>
      </c>
      <c r="J13" s="17" t="s">
        <v>42</v>
      </c>
      <c r="K13" s="29">
        <f t="shared" si="2"/>
        <v>0.85</v>
      </c>
      <c r="L13" s="17" t="s">
        <v>59</v>
      </c>
      <c r="M13" s="29">
        <f t="shared" si="3"/>
        <v>6.42</v>
      </c>
      <c r="N13" s="17" t="s">
        <v>39</v>
      </c>
      <c r="O13" s="17">
        <f t="shared" si="4"/>
        <v>0.56000000000000005</v>
      </c>
      <c r="P13" s="17" t="s">
        <v>42</v>
      </c>
      <c r="Q13" s="17">
        <f t="shared" si="5"/>
        <v>0</v>
      </c>
      <c r="R13" s="17" t="s">
        <v>42</v>
      </c>
      <c r="S13" s="17">
        <f t="shared" si="6"/>
        <v>0</v>
      </c>
      <c r="T13" s="20">
        <f t="shared" si="7"/>
        <v>5.8163672999999996</v>
      </c>
      <c r="U13" s="21">
        <f t="shared" si="8"/>
        <v>0.56000000000000005</v>
      </c>
      <c r="V13" s="22">
        <f t="shared" si="9"/>
        <v>3.5952000000000002</v>
      </c>
      <c r="W13" s="22">
        <f t="shared" si="10"/>
        <v>2.2211672999999998</v>
      </c>
      <c r="X13" s="29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>
        <f>SUM(T5:T13)</f>
        <v>60.763243462855698</v>
      </c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8:C9"/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3 P5:P13 R5:R13" xr:uid="{00000000-0002-0000-1900-000000000000}">
      <formula1>"High,Low,None"</formula1>
    </dataValidation>
    <dataValidation type="list" allowBlank="1" showErrorMessage="1" sqref="B5:B13" xr:uid="{00000000-0002-0000-1900-000001000000}">
      <formula1>"Spoofing ,Tampering,Repudiation,Information Disclosure,Denial of Service,Elevation of Privilage"</formula1>
    </dataValidation>
    <dataValidation type="list" allowBlank="1" showErrorMessage="1" sqref="L5:L13" xr:uid="{00000000-0002-0000-1900-000002000000}">
      <formula1>"Unchanged,Changed"</formula1>
    </dataValidation>
    <dataValidation type="list" allowBlank="1" showErrorMessage="1" sqref="F5:F13" xr:uid="{00000000-0002-0000-1900-000003000000}">
      <formula1>"Low,High"</formula1>
    </dataValidation>
    <dataValidation type="list" allowBlank="1" showErrorMessage="1" sqref="D5:D13" xr:uid="{00000000-0002-0000-1900-000004000000}">
      <formula1>"Network,Adjacent Network,Local,Physical"</formula1>
    </dataValidation>
    <dataValidation type="list" allowBlank="1" showErrorMessage="1" sqref="A7 A10:A11" xr:uid="{00000000-0002-0000-19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3" xr:uid="{00000000-0002-0000-1900-000006000000}">
      <formula1>"None,Required"</formula1>
    </dataValidation>
    <dataValidation type="list" allowBlank="1" showErrorMessage="1" sqref="A5:A6 A8:A9 A12:A13" xr:uid="{00000000-0002-0000-19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13" xr:uid="{00000000-0002-0000-1900-000008000000}">
      <formula1>"None,Low,High"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7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48</v>
      </c>
      <c r="B5" s="19" t="s">
        <v>51</v>
      </c>
      <c r="C5" s="19" t="s">
        <v>106</v>
      </c>
      <c r="D5" s="19" t="s">
        <v>38</v>
      </c>
      <c r="E5" s="18">
        <f t="shared" ref="E5:E10" si="0">IF(D5="Network",0.85,IF(D5="Adjacent Network",0.62,IF(D5="Local",0.55,IF(D5="Physical",0.2,0))))</f>
        <v>0.85</v>
      </c>
      <c r="F5" s="19" t="s">
        <v>47</v>
      </c>
      <c r="G5" s="18">
        <f>IF(F5="Low",0.77,IF(F5="High",0.44,0))</f>
        <v>0.77</v>
      </c>
      <c r="H5" s="19" t="s">
        <v>42</v>
      </c>
      <c r="I5" s="18">
        <f t="shared" ref="I5:I10" si="1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0" si="2">IF(J5="Required",0.62,IF(J5="None",0.85,0))</f>
        <v>0.85</v>
      </c>
      <c r="L5" s="19" t="s">
        <v>59</v>
      </c>
      <c r="M5" s="18">
        <f t="shared" ref="M5:M10" si="3">IF(L5="Changed",7.52,IF(L5="Unchanged",6.42,0))</f>
        <v>6.42</v>
      </c>
      <c r="N5" s="19" t="s">
        <v>39</v>
      </c>
      <c r="O5" s="19">
        <f t="shared" ref="O5:O10" si="4">IF(N5="High",0.56,IF(N5="Low",0.22,IF(N5="None",0,0)))</f>
        <v>0.56000000000000005</v>
      </c>
      <c r="P5" s="19" t="s">
        <v>39</v>
      </c>
      <c r="Q5" s="19">
        <f t="shared" ref="Q5:Q10" si="5">IF(P5="High",0.56,IF(P5="Low",0.22,IF(P5="None",0,0)))</f>
        <v>0.56000000000000005</v>
      </c>
      <c r="R5" s="19" t="s">
        <v>39</v>
      </c>
      <c r="S5" s="19">
        <f t="shared" ref="S5:S10" si="6">IF(R5="High",0.56,IF(R5="Low",0.22,IF(R5="None",0,0)))</f>
        <v>0.56000000000000005</v>
      </c>
      <c r="T5" s="20">
        <f t="shared" ref="T5:T10" si="7">IF(V5&lt;=0,0,IF(L5="Unchanged",MIN(W5+V5,10),MIN((W5+V5)*1.08,10)))</f>
        <v>9.760161495000002</v>
      </c>
      <c r="U5" s="21">
        <f t="shared" ref="U5:U10" si="8">(1-((1-O5)*(1-Q5)*(1-S5)))</f>
        <v>0.91481600000000007</v>
      </c>
      <c r="V5" s="22">
        <f t="shared" ref="V5:V10" si="9">IF(L5="Unchanged",M5*U5,M5*(U5-0.029)-3.25*POWER(U5-0.02,15))</f>
        <v>5.8731187200000008</v>
      </c>
      <c r="W5" s="22">
        <f t="shared" ref="W5:W10" si="10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48</v>
      </c>
      <c r="B6" s="17" t="s">
        <v>44</v>
      </c>
      <c r="C6" s="27" t="s">
        <v>82</v>
      </c>
      <c r="D6" s="19" t="s">
        <v>38</v>
      </c>
      <c r="E6" s="18">
        <f t="shared" si="0"/>
        <v>0.85</v>
      </c>
      <c r="F6" s="19" t="s">
        <v>47</v>
      </c>
      <c r="G6" s="18">
        <f>IF(F6="High",0.44,IF(F6="Low",0.77,0))</f>
        <v>0.77</v>
      </c>
      <c r="H6" s="19" t="s">
        <v>42</v>
      </c>
      <c r="I6" s="18">
        <f t="shared" si="1"/>
        <v>0.85</v>
      </c>
      <c r="J6" s="19" t="s">
        <v>42</v>
      </c>
      <c r="K6" s="18">
        <f t="shared" si="2"/>
        <v>0.85</v>
      </c>
      <c r="L6" s="19" t="s">
        <v>59</v>
      </c>
      <c r="M6" s="18">
        <f t="shared" si="3"/>
        <v>6.42</v>
      </c>
      <c r="N6" s="19" t="s">
        <v>39</v>
      </c>
      <c r="O6" s="19">
        <f t="shared" si="4"/>
        <v>0.56000000000000005</v>
      </c>
      <c r="P6" s="19" t="s">
        <v>39</v>
      </c>
      <c r="Q6" s="19">
        <f t="shared" si="5"/>
        <v>0.56000000000000005</v>
      </c>
      <c r="R6" s="19" t="s">
        <v>39</v>
      </c>
      <c r="S6" s="19">
        <f t="shared" si="6"/>
        <v>0.56000000000000005</v>
      </c>
      <c r="T6" s="20">
        <f t="shared" si="7"/>
        <v>9.760161495000002</v>
      </c>
      <c r="U6" s="21">
        <f t="shared" si="8"/>
        <v>0.91481600000000007</v>
      </c>
      <c r="V6" s="22">
        <f t="shared" si="9"/>
        <v>5.8731187200000008</v>
      </c>
      <c r="W6" s="22">
        <f t="shared" si="10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43</v>
      </c>
      <c r="B7" s="17" t="s">
        <v>63</v>
      </c>
      <c r="C7" s="28" t="s">
        <v>64</v>
      </c>
      <c r="D7" s="17" t="s">
        <v>38</v>
      </c>
      <c r="E7" s="29">
        <f t="shared" si="0"/>
        <v>0.85</v>
      </c>
      <c r="F7" s="17" t="s">
        <v>39</v>
      </c>
      <c r="G7" s="29">
        <f t="shared" ref="G7:G10" si="11">IF(F7="Low",0.77,IF(F7="High",0.44,0))</f>
        <v>0.44</v>
      </c>
      <c r="H7" s="17" t="s">
        <v>47</v>
      </c>
      <c r="I7" s="29">
        <f t="shared" si="1"/>
        <v>0.68</v>
      </c>
      <c r="J7" s="17" t="s">
        <v>40</v>
      </c>
      <c r="K7" s="29">
        <f t="shared" si="2"/>
        <v>0.62</v>
      </c>
      <c r="L7" s="17" t="s">
        <v>41</v>
      </c>
      <c r="M7" s="29">
        <f t="shared" si="3"/>
        <v>7.52</v>
      </c>
      <c r="N7" s="17" t="s">
        <v>39</v>
      </c>
      <c r="O7" s="17">
        <f t="shared" si="4"/>
        <v>0.56000000000000005</v>
      </c>
      <c r="P7" s="17" t="s">
        <v>42</v>
      </c>
      <c r="Q7" s="17">
        <f t="shared" si="5"/>
        <v>0</v>
      </c>
      <c r="R7" s="17" t="s">
        <v>42</v>
      </c>
      <c r="S7" s="17">
        <f t="shared" si="6"/>
        <v>0</v>
      </c>
      <c r="T7" s="20">
        <f t="shared" si="7"/>
        <v>5.7120355715551225</v>
      </c>
      <c r="U7" s="21">
        <f t="shared" si="8"/>
        <v>0.56000000000000005</v>
      </c>
      <c r="V7" s="22">
        <f t="shared" si="9"/>
        <v>3.9928053775140029</v>
      </c>
      <c r="W7" s="22">
        <f t="shared" si="10"/>
        <v>1.2961164479999998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48</v>
      </c>
      <c r="B8" s="19" t="s">
        <v>44</v>
      </c>
      <c r="C8" s="27" t="s">
        <v>76</v>
      </c>
      <c r="D8" s="19" t="s">
        <v>38</v>
      </c>
      <c r="E8" s="18">
        <f t="shared" si="0"/>
        <v>0.85</v>
      </c>
      <c r="F8" s="19" t="s">
        <v>47</v>
      </c>
      <c r="G8" s="18">
        <f t="shared" si="11"/>
        <v>0.77</v>
      </c>
      <c r="H8" s="19" t="s">
        <v>42</v>
      </c>
      <c r="I8" s="18">
        <f t="shared" si="1"/>
        <v>0.85</v>
      </c>
      <c r="J8" s="19" t="s">
        <v>40</v>
      </c>
      <c r="K8" s="18">
        <f t="shared" si="2"/>
        <v>0.62</v>
      </c>
      <c r="L8" s="19" t="s">
        <v>59</v>
      </c>
      <c r="M8" s="18">
        <f t="shared" si="3"/>
        <v>6.42</v>
      </c>
      <c r="N8" s="19" t="s">
        <v>47</v>
      </c>
      <c r="O8" s="19">
        <f t="shared" si="4"/>
        <v>0.22</v>
      </c>
      <c r="P8" s="19" t="s">
        <v>47</v>
      </c>
      <c r="Q8" s="19">
        <f t="shared" si="5"/>
        <v>0.22</v>
      </c>
      <c r="R8" s="19" t="s">
        <v>39</v>
      </c>
      <c r="S8" s="19">
        <f t="shared" si="6"/>
        <v>0.56000000000000005</v>
      </c>
      <c r="T8" s="20">
        <f t="shared" si="7"/>
        <v>7.5366464100000012</v>
      </c>
      <c r="U8" s="21">
        <f t="shared" si="8"/>
        <v>0.73230400000000007</v>
      </c>
      <c r="V8" s="22">
        <f t="shared" si="9"/>
        <v>4.7013916800000004</v>
      </c>
      <c r="W8" s="22">
        <f t="shared" si="10"/>
        <v>2.8352547300000004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50</v>
      </c>
      <c r="B9" s="19" t="s">
        <v>36</v>
      </c>
      <c r="C9" s="27" t="s">
        <v>96</v>
      </c>
      <c r="D9" s="19" t="s">
        <v>38</v>
      </c>
      <c r="E9" s="18">
        <f t="shared" si="0"/>
        <v>0.85</v>
      </c>
      <c r="F9" s="19" t="s">
        <v>47</v>
      </c>
      <c r="G9" s="18">
        <f t="shared" si="11"/>
        <v>0.77</v>
      </c>
      <c r="H9" s="19" t="s">
        <v>42</v>
      </c>
      <c r="I9" s="18">
        <f t="shared" si="1"/>
        <v>0.85</v>
      </c>
      <c r="J9" s="19" t="s">
        <v>42</v>
      </c>
      <c r="K9" s="18">
        <f t="shared" si="2"/>
        <v>0.85</v>
      </c>
      <c r="L9" s="19" t="s">
        <v>59</v>
      </c>
      <c r="M9" s="18">
        <f t="shared" si="3"/>
        <v>6.42</v>
      </c>
      <c r="N9" s="19" t="s">
        <v>39</v>
      </c>
      <c r="O9" s="19">
        <f t="shared" si="4"/>
        <v>0.56000000000000005</v>
      </c>
      <c r="P9" s="19" t="s">
        <v>39</v>
      </c>
      <c r="Q9" s="19">
        <f t="shared" si="5"/>
        <v>0.56000000000000005</v>
      </c>
      <c r="R9" s="19" t="s">
        <v>42</v>
      </c>
      <c r="S9" s="19">
        <f t="shared" si="6"/>
        <v>0</v>
      </c>
      <c r="T9" s="20">
        <f t="shared" si="7"/>
        <v>9.0641307750000006</v>
      </c>
      <c r="U9" s="21">
        <f t="shared" si="8"/>
        <v>0.80640000000000001</v>
      </c>
      <c r="V9" s="22">
        <f t="shared" si="9"/>
        <v>5.1770880000000004</v>
      </c>
      <c r="W9" s="22">
        <f t="shared" si="10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93</v>
      </c>
      <c r="B10" s="19" t="s">
        <v>51</v>
      </c>
      <c r="C10" s="27" t="s">
        <v>94</v>
      </c>
      <c r="D10" s="19" t="s">
        <v>38</v>
      </c>
      <c r="E10" s="18">
        <f t="shared" si="0"/>
        <v>0.85</v>
      </c>
      <c r="F10" s="19" t="s">
        <v>47</v>
      </c>
      <c r="G10" s="18">
        <f t="shared" si="11"/>
        <v>0.77</v>
      </c>
      <c r="H10" s="19" t="s">
        <v>42</v>
      </c>
      <c r="I10" s="18">
        <f t="shared" si="1"/>
        <v>0.85</v>
      </c>
      <c r="J10" s="19" t="s">
        <v>42</v>
      </c>
      <c r="K10" s="18">
        <f t="shared" si="2"/>
        <v>0.85</v>
      </c>
      <c r="L10" s="19" t="s">
        <v>59</v>
      </c>
      <c r="M10" s="18">
        <f t="shared" si="3"/>
        <v>6.42</v>
      </c>
      <c r="N10" s="19" t="s">
        <v>39</v>
      </c>
      <c r="O10" s="19">
        <f t="shared" si="4"/>
        <v>0.56000000000000005</v>
      </c>
      <c r="P10" s="19" t="s">
        <v>42</v>
      </c>
      <c r="Q10" s="19">
        <f t="shared" si="5"/>
        <v>0</v>
      </c>
      <c r="R10" s="19" t="s">
        <v>42</v>
      </c>
      <c r="S10" s="19">
        <f t="shared" si="6"/>
        <v>0</v>
      </c>
      <c r="T10" s="20">
        <f t="shared" si="7"/>
        <v>7.4822427750000005</v>
      </c>
      <c r="U10" s="21">
        <f t="shared" si="8"/>
        <v>0.56000000000000005</v>
      </c>
      <c r="V10" s="22">
        <f t="shared" si="9"/>
        <v>3.5952000000000002</v>
      </c>
      <c r="W10" s="22">
        <f t="shared" si="10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>
        <f>SUM(T5:T10)</f>
        <v>49.315378521555132</v>
      </c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0 P5:P10 R5:R10" xr:uid="{00000000-0002-0000-1A00-000000000000}">
      <formula1>"High,Low,None"</formula1>
    </dataValidation>
    <dataValidation type="list" allowBlank="1" showErrorMessage="1" sqref="B5:B10" xr:uid="{00000000-0002-0000-1A00-000001000000}">
      <formula1>"Spoofing ,Tampering,Repudiation,Information Disclosure,Denial of Service,Elevation of Privilage"</formula1>
    </dataValidation>
    <dataValidation type="list" allowBlank="1" showErrorMessage="1" sqref="L5:L10" xr:uid="{00000000-0002-0000-1A00-000002000000}">
      <formula1>"Unchanged,Changed"</formula1>
    </dataValidation>
    <dataValidation type="list" allowBlank="1" showErrorMessage="1" sqref="F5:F10" xr:uid="{00000000-0002-0000-1A00-000003000000}">
      <formula1>"Low,High"</formula1>
    </dataValidation>
    <dataValidation type="list" allowBlank="1" showErrorMessage="1" sqref="D5:D10" xr:uid="{00000000-0002-0000-1A00-000004000000}">
      <formula1>"Network,Adjacent Network,Local,Physical"</formula1>
    </dataValidation>
    <dataValidation type="list" allowBlank="1" showErrorMessage="1" sqref="A5:A6 A8:A10" xr:uid="{00000000-0002-0000-1A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0" xr:uid="{00000000-0002-0000-1A00-000006000000}">
      <formula1>"None,Required"</formula1>
    </dataValidation>
    <dataValidation type="list" allowBlank="1" showErrorMessage="1" sqref="H5:H10" xr:uid="{00000000-0002-0000-1A00-000007000000}">
      <formula1>"None,Low,High"</formula1>
    </dataValidation>
    <dataValidation type="list" allowBlank="1" showErrorMessage="1" sqref="A7" xr:uid="{00000000-0002-0000-1A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45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51</v>
      </c>
      <c r="C5" s="28" t="s">
        <v>144</v>
      </c>
      <c r="D5" s="19" t="s">
        <v>38</v>
      </c>
      <c r="E5" s="18">
        <f t="shared" ref="E5:E18" si="0">IF(D5="Network",0.85,IF(D5="Adjacent Network",0.62,IF(D5="Local",0.55,IF(D5="Physical",0.2,0))))</f>
        <v>0.85</v>
      </c>
      <c r="F5" s="19" t="s">
        <v>47</v>
      </c>
      <c r="G5" s="18">
        <f t="shared" ref="G5:G11" si="1">IF(F5="Low",0.77,IF(F5="High",0.44,0))</f>
        <v>0.77</v>
      </c>
      <c r="H5" s="19" t="s">
        <v>39</v>
      </c>
      <c r="I5" s="18">
        <f t="shared" ref="I5:I18" si="2">IF(H5="None",0.85,IF(AND(H5="Low",L5="Unchanged"),0.62,IF(AND(H5="Low",L5="Changed"),0.68,IF(AND(H5="High",L5="Changed"),0.5,IF(AND(H5="High",L5="Unchanged"),0.27,0)))))</f>
        <v>0.27</v>
      </c>
      <c r="J5" s="19" t="s">
        <v>42</v>
      </c>
      <c r="K5" s="18">
        <f t="shared" ref="K5:K18" si="3">IF(J5="Required",0.62,IF(J5="None",0.85,0))</f>
        <v>0.85</v>
      </c>
      <c r="L5" s="19" t="s">
        <v>59</v>
      </c>
      <c r="M5" s="18">
        <f t="shared" ref="M5:M18" si="4">IF(L5="Changed",7.52,IF(L5="Unchanged",6.42,0))</f>
        <v>6.42</v>
      </c>
      <c r="N5" s="19" t="s">
        <v>39</v>
      </c>
      <c r="O5" s="19">
        <f t="shared" ref="O5:O18" si="5">IF(N5="High",0.56,IF(N5="Low",0.22,IF(N5="None",0,0)))</f>
        <v>0.56000000000000005</v>
      </c>
      <c r="P5" s="19" t="s">
        <v>42</v>
      </c>
      <c r="Q5" s="19">
        <f t="shared" ref="Q5:Q18" si="6">IF(P5="High",0.56,IF(P5="Low",0.22,IF(P5="None",0,0)))</f>
        <v>0</v>
      </c>
      <c r="R5" s="19" t="s">
        <v>42</v>
      </c>
      <c r="S5" s="19">
        <f t="shared" ref="S5:S18" si="7">IF(R5="High",0.56,IF(R5="Low",0.22,IF(R5="None",0,0)))</f>
        <v>0</v>
      </c>
      <c r="T5" s="20">
        <f t="shared" ref="T5:T18" si="8">IF(V5&lt;=0,0,IF(L5="Unchanged",MIN(W5+V5,10),MIN((W5+V5)*1.08,10)))</f>
        <v>4.8299077050000001</v>
      </c>
      <c r="U5" s="21">
        <f t="shared" ref="U5:U18" si="9">(1-((1-O5)*(1-Q5)*(1-S5)))</f>
        <v>0.56000000000000005</v>
      </c>
      <c r="V5" s="22">
        <f t="shared" ref="V5:V18" si="10">IF(L5="Unchanged",M5*U5,M5*(U5-0.029)-3.25*POWER(U5-0.02,15))</f>
        <v>3.5952000000000002</v>
      </c>
      <c r="W5" s="22">
        <f t="shared" ref="W5:W18" si="11">8.22*E5*G5*I5*K5</f>
        <v>1.2347077050000002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 ht="15.75" customHeight="1">
      <c r="A6" s="17" t="s">
        <v>60</v>
      </c>
      <c r="B6" s="17" t="s">
        <v>36</v>
      </c>
      <c r="C6" s="82" t="s">
        <v>61</v>
      </c>
      <c r="D6" s="17" t="s">
        <v>38</v>
      </c>
      <c r="E6" s="29">
        <f t="shared" si="0"/>
        <v>0.85</v>
      </c>
      <c r="F6" s="17" t="s">
        <v>47</v>
      </c>
      <c r="G6" s="29">
        <f t="shared" si="1"/>
        <v>0.77</v>
      </c>
      <c r="H6" s="17" t="s">
        <v>47</v>
      </c>
      <c r="I6" s="29">
        <f t="shared" si="2"/>
        <v>0.68</v>
      </c>
      <c r="J6" s="17" t="s">
        <v>40</v>
      </c>
      <c r="K6" s="29">
        <f t="shared" si="3"/>
        <v>0.62</v>
      </c>
      <c r="L6" s="17" t="s">
        <v>41</v>
      </c>
      <c r="M6" s="29">
        <f t="shared" si="4"/>
        <v>7.52</v>
      </c>
      <c r="N6" s="17" t="s">
        <v>39</v>
      </c>
      <c r="O6" s="17">
        <f t="shared" si="5"/>
        <v>0.56000000000000005</v>
      </c>
      <c r="P6" s="17" t="s">
        <v>39</v>
      </c>
      <c r="Q6" s="17">
        <f t="shared" si="6"/>
        <v>0.56000000000000005</v>
      </c>
      <c r="R6" s="17" t="s">
        <v>42</v>
      </c>
      <c r="S6" s="17">
        <f t="shared" si="7"/>
        <v>0</v>
      </c>
      <c r="T6" s="20">
        <f t="shared" si="8"/>
        <v>8.6679015319386874</v>
      </c>
      <c r="U6" s="21">
        <f t="shared" si="9"/>
        <v>0.80640000000000001</v>
      </c>
      <c r="V6" s="22">
        <f t="shared" si="10"/>
        <v>5.7576309677950803</v>
      </c>
      <c r="W6" s="22">
        <f t="shared" si="11"/>
        <v>2.2682037840000002</v>
      </c>
      <c r="X6" s="29"/>
      <c r="Y6" s="29"/>
      <c r="Z6" s="29"/>
      <c r="AA6" s="29"/>
      <c r="AB6" s="29"/>
      <c r="AC6" s="29"/>
      <c r="AD6" s="29"/>
      <c r="AE6" s="29"/>
      <c r="AF6" s="29"/>
      <c r="AG6" s="30"/>
      <c r="AH6" s="30"/>
    </row>
    <row r="7" spans="1:34" ht="15.75" customHeight="1">
      <c r="A7" s="17" t="s">
        <v>62</v>
      </c>
      <c r="B7" s="17" t="s">
        <v>36</v>
      </c>
      <c r="C7" s="76"/>
      <c r="D7" s="17" t="s">
        <v>38</v>
      </c>
      <c r="E7" s="29">
        <f t="shared" si="0"/>
        <v>0.85</v>
      </c>
      <c r="F7" s="17" t="s">
        <v>47</v>
      </c>
      <c r="G7" s="29">
        <f t="shared" si="1"/>
        <v>0.77</v>
      </c>
      <c r="H7" s="17" t="s">
        <v>47</v>
      </c>
      <c r="I7" s="29">
        <f t="shared" si="2"/>
        <v>0.68</v>
      </c>
      <c r="J7" s="17" t="s">
        <v>40</v>
      </c>
      <c r="K7" s="29">
        <f t="shared" si="3"/>
        <v>0.62</v>
      </c>
      <c r="L7" s="17" t="s">
        <v>41</v>
      </c>
      <c r="M7" s="29">
        <f t="shared" si="4"/>
        <v>7.52</v>
      </c>
      <c r="N7" s="17" t="s">
        <v>39</v>
      </c>
      <c r="O7" s="17">
        <f t="shared" si="5"/>
        <v>0.56000000000000005</v>
      </c>
      <c r="P7" s="17" t="s">
        <v>39</v>
      </c>
      <c r="Q7" s="17">
        <f t="shared" si="6"/>
        <v>0.56000000000000005</v>
      </c>
      <c r="R7" s="17" t="s">
        <v>42</v>
      </c>
      <c r="S7" s="17">
        <f t="shared" si="7"/>
        <v>0</v>
      </c>
      <c r="T7" s="20">
        <f t="shared" si="8"/>
        <v>8.6679015319386874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2.2682037840000002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43</v>
      </c>
      <c r="B8" s="19" t="s">
        <v>44</v>
      </c>
      <c r="C8" s="27" t="s">
        <v>45</v>
      </c>
      <c r="D8" s="19" t="s">
        <v>46</v>
      </c>
      <c r="E8" s="18">
        <f t="shared" si="0"/>
        <v>0.62</v>
      </c>
      <c r="F8" s="19" t="s">
        <v>39</v>
      </c>
      <c r="G8" s="18">
        <f t="shared" si="1"/>
        <v>0.44</v>
      </c>
      <c r="H8" s="19" t="s">
        <v>47</v>
      </c>
      <c r="I8" s="18">
        <f t="shared" si="2"/>
        <v>0.68</v>
      </c>
      <c r="J8" s="19" t="s">
        <v>40</v>
      </c>
      <c r="K8" s="18">
        <f t="shared" si="3"/>
        <v>0.62</v>
      </c>
      <c r="L8" s="19" t="s">
        <v>41</v>
      </c>
      <c r="M8" s="18">
        <f t="shared" si="4"/>
        <v>7.52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42</v>
      </c>
      <c r="S8" s="19">
        <f t="shared" si="7"/>
        <v>0</v>
      </c>
      <c r="T8" s="20">
        <f t="shared" si="8"/>
        <v>7.2392762376666875</v>
      </c>
      <c r="U8" s="21">
        <f t="shared" si="9"/>
        <v>0.80640000000000001</v>
      </c>
      <c r="V8" s="22">
        <f t="shared" si="10"/>
        <v>5.7576309677950803</v>
      </c>
      <c r="W8" s="22">
        <f t="shared" si="11"/>
        <v>0.94540258560000001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48</v>
      </c>
      <c r="B9" s="19" t="s">
        <v>44</v>
      </c>
      <c r="C9" s="27" t="s">
        <v>49</v>
      </c>
      <c r="D9" s="19" t="s">
        <v>46</v>
      </c>
      <c r="E9" s="18">
        <f t="shared" si="0"/>
        <v>0.62</v>
      </c>
      <c r="F9" s="19" t="s">
        <v>39</v>
      </c>
      <c r="G9" s="18">
        <f t="shared" si="1"/>
        <v>0.44</v>
      </c>
      <c r="H9" s="19" t="s">
        <v>47</v>
      </c>
      <c r="I9" s="18">
        <f t="shared" si="2"/>
        <v>0.68</v>
      </c>
      <c r="J9" s="19" t="s">
        <v>40</v>
      </c>
      <c r="K9" s="18">
        <f t="shared" si="3"/>
        <v>0.62</v>
      </c>
      <c r="L9" s="19" t="s">
        <v>41</v>
      </c>
      <c r="M9" s="18">
        <f t="shared" si="4"/>
        <v>7.52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39</v>
      </c>
      <c r="S9" s="19">
        <f t="shared" si="7"/>
        <v>0.56000000000000005</v>
      </c>
      <c r="T9" s="20">
        <f t="shared" si="8"/>
        <v>7.5525837233160802</v>
      </c>
      <c r="U9" s="21">
        <f t="shared" si="9"/>
        <v>0.91481600000000007</v>
      </c>
      <c r="V9" s="22">
        <f t="shared" si="10"/>
        <v>6.0477304915445185</v>
      </c>
      <c r="W9" s="22">
        <f t="shared" si="11"/>
        <v>0.94540258560000001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.75" customHeight="1">
      <c r="A10" s="17" t="s">
        <v>43</v>
      </c>
      <c r="B10" s="17" t="s">
        <v>63</v>
      </c>
      <c r="C10" s="28" t="s">
        <v>64</v>
      </c>
      <c r="D10" s="17" t="s">
        <v>38</v>
      </c>
      <c r="E10" s="29">
        <f t="shared" si="0"/>
        <v>0.85</v>
      </c>
      <c r="F10" s="17" t="s">
        <v>39</v>
      </c>
      <c r="G10" s="29">
        <f t="shared" si="1"/>
        <v>0.44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5.7120355715551225</v>
      </c>
      <c r="U10" s="21">
        <f t="shared" si="9"/>
        <v>0.56000000000000005</v>
      </c>
      <c r="V10" s="22">
        <f t="shared" si="10"/>
        <v>3.9928053775140029</v>
      </c>
      <c r="W10" s="22">
        <f t="shared" si="11"/>
        <v>1.2961164479999998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43</v>
      </c>
      <c r="B11" s="19" t="s">
        <v>36</v>
      </c>
      <c r="C11" s="27" t="s">
        <v>99</v>
      </c>
      <c r="D11" s="19" t="s">
        <v>46</v>
      </c>
      <c r="E11" s="18">
        <f t="shared" si="0"/>
        <v>0.62</v>
      </c>
      <c r="F11" s="19" t="s">
        <v>39</v>
      </c>
      <c r="G11" s="18">
        <f t="shared" si="1"/>
        <v>0.44</v>
      </c>
      <c r="H11" s="19" t="s">
        <v>42</v>
      </c>
      <c r="I11" s="18">
        <f t="shared" si="2"/>
        <v>0.85</v>
      </c>
      <c r="J11" s="19" t="s">
        <v>40</v>
      </c>
      <c r="K11" s="18">
        <f t="shared" si="3"/>
        <v>0.62</v>
      </c>
      <c r="L11" s="19" t="s">
        <v>41</v>
      </c>
      <c r="M11" s="18">
        <f t="shared" si="4"/>
        <v>7.52</v>
      </c>
      <c r="N11" s="19" t="s">
        <v>39</v>
      </c>
      <c r="O11" s="19">
        <f t="shared" si="5"/>
        <v>0.56000000000000005</v>
      </c>
      <c r="P11" s="19" t="s">
        <v>39</v>
      </c>
      <c r="Q11" s="19">
        <f t="shared" si="6"/>
        <v>0.56000000000000005</v>
      </c>
      <c r="R11" s="19" t="s">
        <v>42</v>
      </c>
      <c r="S11" s="19">
        <f t="shared" si="7"/>
        <v>0</v>
      </c>
      <c r="T11" s="20">
        <f t="shared" si="8"/>
        <v>7.4945349357786872</v>
      </c>
      <c r="U11" s="21">
        <f t="shared" si="9"/>
        <v>0.80640000000000001</v>
      </c>
      <c r="V11" s="22">
        <f t="shared" si="10"/>
        <v>5.7576309677950803</v>
      </c>
      <c r="W11" s="22">
        <f t="shared" si="11"/>
        <v>1.1817532319999999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 ht="15.75" customHeight="1">
      <c r="A12" s="17" t="s">
        <v>56</v>
      </c>
      <c r="B12" s="17" t="s">
        <v>57</v>
      </c>
      <c r="C12" s="28" t="s">
        <v>58</v>
      </c>
      <c r="D12" s="17" t="s">
        <v>38</v>
      </c>
      <c r="E12" s="29">
        <f t="shared" si="0"/>
        <v>0.85</v>
      </c>
      <c r="F12" s="17" t="s">
        <v>39</v>
      </c>
      <c r="G12" s="29">
        <f>IF(F12="High",0.44,IF(F12="Low",0.77,0))</f>
        <v>0.44</v>
      </c>
      <c r="H12" s="17" t="s">
        <v>42</v>
      </c>
      <c r="I12" s="29">
        <f t="shared" si="2"/>
        <v>0.85</v>
      </c>
      <c r="J12" s="17" t="s">
        <v>40</v>
      </c>
      <c r="K12" s="29">
        <f t="shared" si="3"/>
        <v>0.62</v>
      </c>
      <c r="L12" s="17" t="s">
        <v>59</v>
      </c>
      <c r="M12" s="29">
        <f t="shared" si="4"/>
        <v>6.42</v>
      </c>
      <c r="N12" s="17" t="s">
        <v>42</v>
      </c>
      <c r="O12" s="17">
        <f t="shared" si="5"/>
        <v>0</v>
      </c>
      <c r="P12" s="17" t="s">
        <v>42</v>
      </c>
      <c r="Q12" s="17">
        <f t="shared" si="6"/>
        <v>0</v>
      </c>
      <c r="R12" s="17" t="s">
        <v>39</v>
      </c>
      <c r="S12" s="17">
        <f t="shared" si="7"/>
        <v>0.56000000000000005</v>
      </c>
      <c r="T12" s="20">
        <f t="shared" si="8"/>
        <v>5.2153455600000003</v>
      </c>
      <c r="U12" s="21">
        <f t="shared" si="9"/>
        <v>0.56000000000000005</v>
      </c>
      <c r="V12" s="22">
        <f t="shared" si="10"/>
        <v>3.5952000000000002</v>
      </c>
      <c r="W12" s="22">
        <f t="shared" si="11"/>
        <v>1.6201455599999999</v>
      </c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30"/>
    </row>
    <row r="13" spans="1:34">
      <c r="A13" s="17" t="s">
        <v>97</v>
      </c>
      <c r="B13" s="19" t="s">
        <v>73</v>
      </c>
      <c r="C13" s="27" t="s">
        <v>98</v>
      </c>
      <c r="D13" s="19" t="s">
        <v>66</v>
      </c>
      <c r="E13" s="18">
        <f t="shared" si="0"/>
        <v>0.55000000000000004</v>
      </c>
      <c r="F13" s="19" t="s">
        <v>47</v>
      </c>
      <c r="G13" s="18">
        <f t="shared" ref="G13:G15" si="12">IF(F13="Low",0.77,IF(F13="High",0.44,0))</f>
        <v>0.77</v>
      </c>
      <c r="H13" s="19" t="s">
        <v>39</v>
      </c>
      <c r="I13" s="18">
        <f t="shared" si="2"/>
        <v>0.27</v>
      </c>
      <c r="J13" s="19" t="s">
        <v>42</v>
      </c>
      <c r="K13" s="18">
        <f t="shared" si="3"/>
        <v>0.85</v>
      </c>
      <c r="L13" s="19" t="s">
        <v>59</v>
      </c>
      <c r="M13" s="18">
        <f t="shared" si="4"/>
        <v>6.42</v>
      </c>
      <c r="N13" s="19" t="s">
        <v>47</v>
      </c>
      <c r="O13" s="19">
        <f t="shared" si="5"/>
        <v>0.22</v>
      </c>
      <c r="P13" s="19" t="s">
        <v>39</v>
      </c>
      <c r="Q13" s="19">
        <f t="shared" si="6"/>
        <v>0.56000000000000005</v>
      </c>
      <c r="R13" s="19" t="s">
        <v>47</v>
      </c>
      <c r="S13" s="19">
        <f t="shared" si="7"/>
        <v>0.22</v>
      </c>
      <c r="T13" s="20">
        <f t="shared" si="8"/>
        <v>5.5003201950000005</v>
      </c>
      <c r="U13" s="21">
        <f t="shared" si="9"/>
        <v>0.73230400000000007</v>
      </c>
      <c r="V13" s="22">
        <f t="shared" si="10"/>
        <v>4.7013916800000004</v>
      </c>
      <c r="W13" s="22">
        <f t="shared" si="11"/>
        <v>0.79892851500000017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 t="s">
        <v>50</v>
      </c>
      <c r="B14" s="19" t="s">
        <v>36</v>
      </c>
      <c r="C14" s="27" t="s">
        <v>96</v>
      </c>
      <c r="D14" s="19" t="s">
        <v>38</v>
      </c>
      <c r="E14" s="18">
        <f t="shared" si="0"/>
        <v>0.85</v>
      </c>
      <c r="F14" s="19" t="s">
        <v>47</v>
      </c>
      <c r="G14" s="18">
        <f t="shared" si="12"/>
        <v>0.77</v>
      </c>
      <c r="H14" s="19" t="s">
        <v>42</v>
      </c>
      <c r="I14" s="18">
        <f t="shared" si="2"/>
        <v>0.85</v>
      </c>
      <c r="J14" s="19" t="s">
        <v>42</v>
      </c>
      <c r="K14" s="18">
        <f t="shared" si="3"/>
        <v>0.85</v>
      </c>
      <c r="L14" s="19" t="s">
        <v>59</v>
      </c>
      <c r="M14" s="18">
        <f t="shared" si="4"/>
        <v>6.42</v>
      </c>
      <c r="N14" s="19" t="s">
        <v>39</v>
      </c>
      <c r="O14" s="19">
        <f t="shared" si="5"/>
        <v>0.56000000000000005</v>
      </c>
      <c r="P14" s="19" t="s">
        <v>39</v>
      </c>
      <c r="Q14" s="19">
        <f t="shared" si="6"/>
        <v>0.56000000000000005</v>
      </c>
      <c r="R14" s="19" t="s">
        <v>42</v>
      </c>
      <c r="S14" s="19">
        <f t="shared" si="7"/>
        <v>0</v>
      </c>
      <c r="T14" s="20">
        <f t="shared" si="8"/>
        <v>9.0641307750000006</v>
      </c>
      <c r="U14" s="21">
        <f t="shared" si="9"/>
        <v>0.80640000000000001</v>
      </c>
      <c r="V14" s="22">
        <f t="shared" si="10"/>
        <v>5.1770880000000004</v>
      </c>
      <c r="W14" s="22">
        <f t="shared" si="11"/>
        <v>3.8870427750000003</v>
      </c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 t="s">
        <v>43</v>
      </c>
      <c r="B15" s="19" t="s">
        <v>44</v>
      </c>
      <c r="C15" s="27" t="s">
        <v>45</v>
      </c>
      <c r="D15" s="19" t="s">
        <v>46</v>
      </c>
      <c r="E15" s="18">
        <f t="shared" si="0"/>
        <v>0.62</v>
      </c>
      <c r="F15" s="19" t="s">
        <v>39</v>
      </c>
      <c r="G15" s="18">
        <f t="shared" si="12"/>
        <v>0.44</v>
      </c>
      <c r="H15" s="19" t="s">
        <v>47</v>
      </c>
      <c r="I15" s="18">
        <f t="shared" si="2"/>
        <v>0.68</v>
      </c>
      <c r="J15" s="19" t="s">
        <v>40</v>
      </c>
      <c r="K15" s="18">
        <f t="shared" si="3"/>
        <v>0.62</v>
      </c>
      <c r="L15" s="19" t="s">
        <v>41</v>
      </c>
      <c r="M15" s="18">
        <f t="shared" si="4"/>
        <v>7.52</v>
      </c>
      <c r="N15" s="19" t="s">
        <v>39</v>
      </c>
      <c r="O15" s="19">
        <f t="shared" si="5"/>
        <v>0.56000000000000005</v>
      </c>
      <c r="P15" s="19" t="s">
        <v>39</v>
      </c>
      <c r="Q15" s="19">
        <f t="shared" si="6"/>
        <v>0.56000000000000005</v>
      </c>
      <c r="R15" s="19" t="s">
        <v>42</v>
      </c>
      <c r="S15" s="19">
        <f t="shared" si="7"/>
        <v>0</v>
      </c>
      <c r="T15" s="20">
        <f t="shared" si="8"/>
        <v>7.2392762376666875</v>
      </c>
      <c r="U15" s="21">
        <f t="shared" si="9"/>
        <v>0.80640000000000001</v>
      </c>
      <c r="V15" s="22">
        <f t="shared" si="10"/>
        <v>5.7576309677950803</v>
      </c>
      <c r="W15" s="22">
        <f t="shared" si="11"/>
        <v>0.94540258560000001</v>
      </c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 t="s">
        <v>50</v>
      </c>
      <c r="B16" s="19" t="s">
        <v>36</v>
      </c>
      <c r="C16" s="27" t="s">
        <v>65</v>
      </c>
      <c r="D16" s="19" t="s">
        <v>66</v>
      </c>
      <c r="E16" s="18">
        <f t="shared" si="0"/>
        <v>0.55000000000000004</v>
      </c>
      <c r="F16" s="19" t="s">
        <v>39</v>
      </c>
      <c r="G16" s="18">
        <f>IF(F16="High",0.44,IF(F16="Low",0.77,0))</f>
        <v>0.44</v>
      </c>
      <c r="H16" s="19" t="s">
        <v>39</v>
      </c>
      <c r="I16" s="18">
        <f t="shared" si="2"/>
        <v>0.5</v>
      </c>
      <c r="J16" s="19" t="s">
        <v>40</v>
      </c>
      <c r="K16" s="18">
        <f t="shared" si="3"/>
        <v>0.62</v>
      </c>
      <c r="L16" s="19" t="s">
        <v>41</v>
      </c>
      <c r="M16" s="18">
        <f t="shared" si="4"/>
        <v>7.52</v>
      </c>
      <c r="N16" s="19" t="s">
        <v>39</v>
      </c>
      <c r="O16" s="19">
        <f t="shared" si="5"/>
        <v>0.56000000000000005</v>
      </c>
      <c r="P16" s="19" t="s">
        <v>39</v>
      </c>
      <c r="Q16" s="19">
        <f t="shared" si="6"/>
        <v>0.56000000000000005</v>
      </c>
      <c r="R16" s="19" t="s">
        <v>39</v>
      </c>
      <c r="S16" s="19">
        <f t="shared" si="7"/>
        <v>0.56000000000000005</v>
      </c>
      <c r="T16" s="20">
        <f t="shared" si="8"/>
        <v>7.1975464828680806</v>
      </c>
      <c r="U16" s="21">
        <f t="shared" si="9"/>
        <v>0.91481600000000007</v>
      </c>
      <c r="V16" s="22">
        <f t="shared" si="10"/>
        <v>6.0477304915445185</v>
      </c>
      <c r="W16" s="22">
        <f t="shared" si="11"/>
        <v>0.61666440000000011</v>
      </c>
      <c r="X16" s="18"/>
      <c r="Y16" s="18"/>
      <c r="Z16" s="19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 t="s">
        <v>68</v>
      </c>
      <c r="B17" s="19" t="s">
        <v>57</v>
      </c>
      <c r="C17" s="27" t="s">
        <v>69</v>
      </c>
      <c r="D17" s="19" t="s">
        <v>38</v>
      </c>
      <c r="E17" s="18">
        <f t="shared" si="0"/>
        <v>0.85</v>
      </c>
      <c r="F17" s="19" t="s">
        <v>47</v>
      </c>
      <c r="G17" s="18">
        <f t="shared" ref="G17:G18" si="13">IF(F17="Low",0.77,IF(F17="High",0.44,0))</f>
        <v>0.77</v>
      </c>
      <c r="H17" s="19" t="s">
        <v>47</v>
      </c>
      <c r="I17" s="18">
        <f t="shared" si="2"/>
        <v>0.62</v>
      </c>
      <c r="J17" s="19" t="s">
        <v>40</v>
      </c>
      <c r="K17" s="18">
        <f t="shared" si="3"/>
        <v>0.62</v>
      </c>
      <c r="L17" s="19" t="s">
        <v>59</v>
      </c>
      <c r="M17" s="18">
        <f t="shared" si="4"/>
        <v>6.42</v>
      </c>
      <c r="N17" s="17" t="s">
        <v>42</v>
      </c>
      <c r="O17" s="17">
        <f t="shared" si="5"/>
        <v>0</v>
      </c>
      <c r="P17" s="17" t="s">
        <v>42</v>
      </c>
      <c r="Q17" s="17">
        <f t="shared" si="6"/>
        <v>0</v>
      </c>
      <c r="R17" s="17" t="s">
        <v>39</v>
      </c>
      <c r="S17" s="19">
        <f t="shared" si="7"/>
        <v>0.56000000000000005</v>
      </c>
      <c r="T17" s="20">
        <f t="shared" si="8"/>
        <v>5.6632681560000009</v>
      </c>
      <c r="U17" s="21">
        <f t="shared" si="9"/>
        <v>0.56000000000000005</v>
      </c>
      <c r="V17" s="22">
        <f t="shared" si="10"/>
        <v>3.5952000000000002</v>
      </c>
      <c r="W17" s="22">
        <f t="shared" si="11"/>
        <v>2.0680681560000003</v>
      </c>
      <c r="X17" s="18"/>
      <c r="Y17" s="18"/>
      <c r="Z17" s="31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 t="s">
        <v>77</v>
      </c>
      <c r="B18" s="17" t="s">
        <v>63</v>
      </c>
      <c r="C18" s="28" t="s">
        <v>78</v>
      </c>
      <c r="D18" s="17" t="s">
        <v>38</v>
      </c>
      <c r="E18" s="29">
        <f t="shared" si="0"/>
        <v>0.85</v>
      </c>
      <c r="F18" s="17" t="s">
        <v>47</v>
      </c>
      <c r="G18" s="29">
        <f t="shared" si="13"/>
        <v>0.77</v>
      </c>
      <c r="H18" s="17" t="s">
        <v>47</v>
      </c>
      <c r="I18" s="29">
        <f t="shared" si="2"/>
        <v>0.68</v>
      </c>
      <c r="J18" s="17" t="s">
        <v>40</v>
      </c>
      <c r="K18" s="29">
        <f t="shared" si="3"/>
        <v>0.62</v>
      </c>
      <c r="L18" s="17" t="s">
        <v>41</v>
      </c>
      <c r="M18" s="29">
        <f t="shared" si="4"/>
        <v>7.52</v>
      </c>
      <c r="N18" s="17" t="s">
        <v>39</v>
      </c>
      <c r="O18" s="17">
        <f t="shared" si="5"/>
        <v>0.56000000000000005</v>
      </c>
      <c r="P18" s="17" t="s">
        <v>39</v>
      </c>
      <c r="Q18" s="17">
        <f t="shared" si="6"/>
        <v>0.56000000000000005</v>
      </c>
      <c r="R18" s="17" t="s">
        <v>39</v>
      </c>
      <c r="S18" s="17">
        <f t="shared" si="7"/>
        <v>0.56000000000000005</v>
      </c>
      <c r="T18" s="20">
        <f t="shared" si="8"/>
        <v>8.9812090175880819</v>
      </c>
      <c r="U18" s="21">
        <f t="shared" si="9"/>
        <v>0.91481600000000007</v>
      </c>
      <c r="V18" s="22">
        <f t="shared" si="10"/>
        <v>6.0477304915445185</v>
      </c>
      <c r="W18" s="22">
        <f t="shared" si="11"/>
        <v>2.2682037840000002</v>
      </c>
      <c r="X18" s="29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>
        <f>SUM(T5:T18)</f>
        <v>99.025237661316808</v>
      </c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6:C7"/>
    <mergeCell ref="B1:C1"/>
    <mergeCell ref="D1:W2"/>
    <mergeCell ref="B2:C2"/>
    <mergeCell ref="D3:M3"/>
    <mergeCell ref="N3:S3"/>
    <mergeCell ref="T3:W3"/>
  </mergeCells>
  <dataValidations count="10">
    <dataValidation type="list" allowBlank="1" showErrorMessage="1" sqref="A12" xr:uid="{00000000-0002-0000-1B00-000000000000}">
      <formula1>"Admin,Admin Service,Book Database,Book Service,Bookshop system,Browser,Customer,R6,Firerwall, API Gateway,Payment Service,R1,R10,R13,R14,R15,R2,R3,R4,R5,R7,R8,User Database,User Service"</formula1>
    </dataValidation>
    <dataValidation type="list" allowBlank="1" showErrorMessage="1" sqref="N5:N18 P5:P18 R5:R18" xr:uid="{00000000-0002-0000-1B00-000001000000}">
      <formula1>"High,Low,None"</formula1>
    </dataValidation>
    <dataValidation type="list" allowBlank="1" showErrorMessage="1" sqref="B5:B18" xr:uid="{00000000-0002-0000-1B00-000002000000}">
      <formula1>"Spoofing ,Tampering,Repudiation,Information Disclosure,Denial of Service,Elevation of Privilage"</formula1>
    </dataValidation>
    <dataValidation type="list" allowBlank="1" showErrorMessage="1" sqref="L5:L18" xr:uid="{00000000-0002-0000-1B00-000003000000}">
      <formula1>"Unchanged,Changed"</formula1>
    </dataValidation>
    <dataValidation type="list" allowBlank="1" showErrorMessage="1" sqref="F5:F18" xr:uid="{00000000-0002-0000-1B00-000004000000}">
      <formula1>"Low,High"</formula1>
    </dataValidation>
    <dataValidation type="list" allowBlank="1" showErrorMessage="1" sqref="D5:D18" xr:uid="{00000000-0002-0000-1B00-000005000000}">
      <formula1>"Network,Adjacent Network,Local,Physical"</formula1>
    </dataValidation>
    <dataValidation type="list" allowBlank="1" showErrorMessage="1" sqref="A5 A11 A13:A14" xr:uid="{00000000-0002-0000-1B00-000006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8" xr:uid="{00000000-0002-0000-1B00-000007000000}">
      <formula1>"None,Required"</formula1>
    </dataValidation>
    <dataValidation type="list" allowBlank="1" showErrorMessage="1" sqref="H5:H18" xr:uid="{00000000-0002-0000-1B00-000008000000}">
      <formula1>"None,Low,High"</formula1>
    </dataValidation>
    <dataValidation type="list" allowBlank="1" showErrorMessage="1" sqref="A6:A10 A15:A18" xr:uid="{00000000-0002-0000-1B00-000009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8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66" t="s">
        <v>60</v>
      </c>
      <c r="B5" s="66" t="s">
        <v>36</v>
      </c>
      <c r="C5" s="93" t="s">
        <v>61</v>
      </c>
      <c r="D5" s="66" t="s">
        <v>38</v>
      </c>
      <c r="E5" s="67">
        <f t="shared" ref="E5:E22" si="0">IF(D5="Network",0.85,IF(D5="Adjacent Network",0.62,IF(D5="Local",0.55,IF(D5="Physical",0.2,0))))</f>
        <v>0.85</v>
      </c>
      <c r="F5" s="66" t="s">
        <v>47</v>
      </c>
      <c r="G5" s="67">
        <f t="shared" ref="G5:G7" si="1">IF(F5="Low",0.77,IF(F5="High",0.44,0))</f>
        <v>0.77</v>
      </c>
      <c r="H5" s="66" t="s">
        <v>47</v>
      </c>
      <c r="I5" s="67">
        <f t="shared" ref="I5:I22" si="2">IF(H5="None",0.85,IF(AND(H5="Low",L5="Unchanged"),0.62,IF(AND(H5="Low",L5="Changed"),0.68,IF(AND(H5="High",L5="Changed"),0.5,IF(AND(H5="High",L5="Unchanged"),0.27,0)))))</f>
        <v>0.68</v>
      </c>
      <c r="J5" s="66" t="s">
        <v>40</v>
      </c>
      <c r="K5" s="67">
        <f t="shared" ref="K5:K22" si="3">IF(J5="Required",0.62,IF(J5="None",0.85,0))</f>
        <v>0.62</v>
      </c>
      <c r="L5" s="66" t="s">
        <v>41</v>
      </c>
      <c r="M5" s="67">
        <f t="shared" ref="M5:M22" si="4">IF(L5="Changed",7.52,IF(L5="Unchanged",6.42,0))</f>
        <v>7.52</v>
      </c>
      <c r="N5" s="66" t="s">
        <v>39</v>
      </c>
      <c r="O5" s="66">
        <f t="shared" ref="O5:O22" si="5">IF(N5="High",0.56,IF(N5="Low",0.22,IF(N5="None",0,0)))</f>
        <v>0.56000000000000005</v>
      </c>
      <c r="P5" s="66" t="s">
        <v>39</v>
      </c>
      <c r="Q5" s="66">
        <f t="shared" ref="Q5:Q22" si="6">IF(P5="High",0.56,IF(P5="Low",0.22,IF(P5="None",0,0)))</f>
        <v>0.56000000000000005</v>
      </c>
      <c r="R5" s="66" t="s">
        <v>42</v>
      </c>
      <c r="S5" s="66">
        <f t="shared" ref="S5:S22" si="7">IF(R5="High",0.56,IF(R5="Low",0.22,IF(R5="None",0,0)))</f>
        <v>0</v>
      </c>
      <c r="T5" s="68">
        <f t="shared" ref="T5:T22" si="8">IF(V5&lt;=0,0,IF(L5="Unchanged",MIN(W5+V5,10),MIN((W5+V5)*1.08,10)))</f>
        <v>8.6679015319386874</v>
      </c>
      <c r="U5" s="69">
        <f t="shared" ref="U5:U22" si="9">(1-((1-O5)*(1-Q5)*(1-S5)))</f>
        <v>0.80640000000000001</v>
      </c>
      <c r="V5" s="70">
        <f t="shared" ref="V5:V22" si="10">IF(L5="Unchanged",M5*U5,M5*(U5-0.029)-3.25*POWER(U5-0.02,15))</f>
        <v>5.7576309677950803</v>
      </c>
      <c r="W5" s="70">
        <f t="shared" ref="W5:W22" si="11">8.22*E5*G5*I5*K5</f>
        <v>2.2682037840000002</v>
      </c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 spans="1:34">
      <c r="A6" s="66" t="s">
        <v>62</v>
      </c>
      <c r="B6" s="66" t="s">
        <v>36</v>
      </c>
      <c r="C6" s="76"/>
      <c r="D6" s="66" t="s">
        <v>38</v>
      </c>
      <c r="E6" s="67">
        <f t="shared" si="0"/>
        <v>0.85</v>
      </c>
      <c r="F6" s="66" t="s">
        <v>47</v>
      </c>
      <c r="G6" s="67">
        <f t="shared" si="1"/>
        <v>0.77</v>
      </c>
      <c r="H6" s="66" t="s">
        <v>47</v>
      </c>
      <c r="I6" s="67">
        <f t="shared" si="2"/>
        <v>0.68</v>
      </c>
      <c r="J6" s="66" t="s">
        <v>40</v>
      </c>
      <c r="K6" s="67">
        <f t="shared" si="3"/>
        <v>0.62</v>
      </c>
      <c r="L6" s="66" t="s">
        <v>41</v>
      </c>
      <c r="M6" s="67">
        <f t="shared" si="4"/>
        <v>7.52</v>
      </c>
      <c r="N6" s="66" t="s">
        <v>39</v>
      </c>
      <c r="O6" s="66">
        <f t="shared" si="5"/>
        <v>0.56000000000000005</v>
      </c>
      <c r="P6" s="66" t="s">
        <v>39</v>
      </c>
      <c r="Q6" s="66">
        <f t="shared" si="6"/>
        <v>0.56000000000000005</v>
      </c>
      <c r="R6" s="66" t="s">
        <v>42</v>
      </c>
      <c r="S6" s="66">
        <f t="shared" si="7"/>
        <v>0</v>
      </c>
      <c r="T6" s="68">
        <f t="shared" si="8"/>
        <v>8.6679015319386874</v>
      </c>
      <c r="U6" s="69">
        <f t="shared" si="9"/>
        <v>0.80640000000000001</v>
      </c>
      <c r="V6" s="70">
        <f t="shared" si="10"/>
        <v>5.7576309677950803</v>
      </c>
      <c r="W6" s="70">
        <f t="shared" si="11"/>
        <v>2.2682037840000002</v>
      </c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 spans="1:34">
      <c r="A7" s="66" t="s">
        <v>43</v>
      </c>
      <c r="B7" s="66" t="s">
        <v>63</v>
      </c>
      <c r="C7" s="72" t="s">
        <v>64</v>
      </c>
      <c r="D7" s="66" t="s">
        <v>38</v>
      </c>
      <c r="E7" s="67">
        <f t="shared" si="0"/>
        <v>0.85</v>
      </c>
      <c r="F7" s="66" t="s">
        <v>39</v>
      </c>
      <c r="G7" s="67">
        <f t="shared" si="1"/>
        <v>0.44</v>
      </c>
      <c r="H7" s="66" t="s">
        <v>47</v>
      </c>
      <c r="I7" s="67">
        <f t="shared" si="2"/>
        <v>0.68</v>
      </c>
      <c r="J7" s="66" t="s">
        <v>40</v>
      </c>
      <c r="K7" s="67">
        <f t="shared" si="3"/>
        <v>0.62</v>
      </c>
      <c r="L7" s="66" t="s">
        <v>41</v>
      </c>
      <c r="M7" s="67">
        <f t="shared" si="4"/>
        <v>7.52</v>
      </c>
      <c r="N7" s="66" t="s">
        <v>39</v>
      </c>
      <c r="O7" s="66">
        <f t="shared" si="5"/>
        <v>0.56000000000000005</v>
      </c>
      <c r="P7" s="66" t="s">
        <v>42</v>
      </c>
      <c r="Q7" s="66">
        <f t="shared" si="6"/>
        <v>0</v>
      </c>
      <c r="R7" s="66" t="s">
        <v>42</v>
      </c>
      <c r="S7" s="66">
        <f t="shared" si="7"/>
        <v>0</v>
      </c>
      <c r="T7" s="68">
        <f t="shared" si="8"/>
        <v>5.7120355715551225</v>
      </c>
      <c r="U7" s="69">
        <f t="shared" si="9"/>
        <v>0.56000000000000005</v>
      </c>
      <c r="V7" s="70">
        <f t="shared" si="10"/>
        <v>3.9928053775140029</v>
      </c>
      <c r="W7" s="70">
        <f t="shared" si="11"/>
        <v>1.2961164479999998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 spans="1:34">
      <c r="A8" s="66" t="s">
        <v>56</v>
      </c>
      <c r="B8" s="66" t="s">
        <v>57</v>
      </c>
      <c r="C8" s="72" t="s">
        <v>58</v>
      </c>
      <c r="D8" s="66" t="s">
        <v>38</v>
      </c>
      <c r="E8" s="67">
        <f t="shared" si="0"/>
        <v>0.85</v>
      </c>
      <c r="F8" s="66" t="s">
        <v>39</v>
      </c>
      <c r="G8" s="67">
        <f>IF(F8="High",0.44,IF(F8="Low",0.77,0))</f>
        <v>0.44</v>
      </c>
      <c r="H8" s="66" t="s">
        <v>42</v>
      </c>
      <c r="I8" s="67">
        <f t="shared" si="2"/>
        <v>0.85</v>
      </c>
      <c r="J8" s="66" t="s">
        <v>40</v>
      </c>
      <c r="K8" s="67">
        <f t="shared" si="3"/>
        <v>0.62</v>
      </c>
      <c r="L8" s="66" t="s">
        <v>59</v>
      </c>
      <c r="M8" s="67">
        <f t="shared" si="4"/>
        <v>6.42</v>
      </c>
      <c r="N8" s="66" t="s">
        <v>42</v>
      </c>
      <c r="O8" s="66">
        <f t="shared" si="5"/>
        <v>0</v>
      </c>
      <c r="P8" s="66" t="s">
        <v>42</v>
      </c>
      <c r="Q8" s="66">
        <f t="shared" si="6"/>
        <v>0</v>
      </c>
      <c r="R8" s="66" t="s">
        <v>39</v>
      </c>
      <c r="S8" s="66">
        <f t="shared" si="7"/>
        <v>0.56000000000000005</v>
      </c>
      <c r="T8" s="68">
        <f t="shared" si="8"/>
        <v>5.2153455600000003</v>
      </c>
      <c r="U8" s="69">
        <f t="shared" si="9"/>
        <v>0.56000000000000005</v>
      </c>
      <c r="V8" s="70">
        <f t="shared" si="10"/>
        <v>3.5952000000000002</v>
      </c>
      <c r="W8" s="70">
        <f t="shared" si="11"/>
        <v>1.6201455599999999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 spans="1:34">
      <c r="A9" s="66" t="s">
        <v>43</v>
      </c>
      <c r="B9" s="66" t="s">
        <v>51</v>
      </c>
      <c r="C9" s="72" t="s">
        <v>100</v>
      </c>
      <c r="D9" s="66" t="s">
        <v>38</v>
      </c>
      <c r="E9" s="67">
        <f t="shared" si="0"/>
        <v>0.85</v>
      </c>
      <c r="F9" s="66" t="s">
        <v>47</v>
      </c>
      <c r="G9" s="67">
        <f t="shared" ref="G9:G22" si="12">IF(F9="Low",0.77,IF(F9="High",0.44,0))</f>
        <v>0.77</v>
      </c>
      <c r="H9" s="66" t="s">
        <v>42</v>
      </c>
      <c r="I9" s="67">
        <f t="shared" si="2"/>
        <v>0.85</v>
      </c>
      <c r="J9" s="66" t="s">
        <v>40</v>
      </c>
      <c r="K9" s="67">
        <f t="shared" si="3"/>
        <v>0.62</v>
      </c>
      <c r="L9" s="66" t="s">
        <v>41</v>
      </c>
      <c r="M9" s="67">
        <f t="shared" si="4"/>
        <v>7.52</v>
      </c>
      <c r="N9" s="66" t="s">
        <v>39</v>
      </c>
      <c r="O9" s="66">
        <f t="shared" si="5"/>
        <v>0.56000000000000005</v>
      </c>
      <c r="P9" s="66" t="s">
        <v>39</v>
      </c>
      <c r="Q9" s="66">
        <f t="shared" si="6"/>
        <v>0.56000000000000005</v>
      </c>
      <c r="R9" s="66" t="s">
        <v>42</v>
      </c>
      <c r="S9" s="66">
        <f t="shared" si="7"/>
        <v>0</v>
      </c>
      <c r="T9" s="68">
        <f t="shared" si="8"/>
        <v>9.2803165536186878</v>
      </c>
      <c r="U9" s="69">
        <f t="shared" si="9"/>
        <v>0.80640000000000001</v>
      </c>
      <c r="V9" s="70">
        <f t="shared" si="10"/>
        <v>5.7576309677950803</v>
      </c>
      <c r="W9" s="70">
        <f t="shared" si="11"/>
        <v>2.8352547300000004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spans="1:34">
      <c r="A10" s="66" t="s">
        <v>53</v>
      </c>
      <c r="B10" s="66" t="s">
        <v>63</v>
      </c>
      <c r="C10" s="72" t="s">
        <v>101</v>
      </c>
      <c r="D10" s="66" t="s">
        <v>38</v>
      </c>
      <c r="E10" s="67">
        <f t="shared" si="0"/>
        <v>0.85</v>
      </c>
      <c r="F10" s="66" t="s">
        <v>47</v>
      </c>
      <c r="G10" s="67">
        <f t="shared" si="12"/>
        <v>0.77</v>
      </c>
      <c r="H10" s="66" t="s">
        <v>47</v>
      </c>
      <c r="I10" s="67">
        <f t="shared" si="2"/>
        <v>0.62</v>
      </c>
      <c r="J10" s="66" t="s">
        <v>42</v>
      </c>
      <c r="K10" s="67">
        <f t="shared" si="3"/>
        <v>0.85</v>
      </c>
      <c r="L10" s="66" t="s">
        <v>59</v>
      </c>
      <c r="M10" s="67">
        <f t="shared" si="4"/>
        <v>6.42</v>
      </c>
      <c r="N10" s="66" t="s">
        <v>47</v>
      </c>
      <c r="O10" s="66">
        <f t="shared" si="5"/>
        <v>0.22</v>
      </c>
      <c r="P10" s="66" t="s">
        <v>39</v>
      </c>
      <c r="Q10" s="66">
        <f t="shared" si="6"/>
        <v>0.56000000000000005</v>
      </c>
      <c r="R10" s="66" t="s">
        <v>42</v>
      </c>
      <c r="S10" s="66">
        <f t="shared" si="7"/>
        <v>0</v>
      </c>
      <c r="T10" s="68">
        <f t="shared" si="8"/>
        <v>7.0519107300000003</v>
      </c>
      <c r="U10" s="69">
        <f t="shared" si="9"/>
        <v>0.65680000000000005</v>
      </c>
      <c r="V10" s="70">
        <f t="shared" si="10"/>
        <v>4.2166560000000004</v>
      </c>
      <c r="W10" s="70">
        <f t="shared" si="11"/>
        <v>2.8352547299999999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 spans="1:34">
      <c r="A11" s="66" t="s">
        <v>85</v>
      </c>
      <c r="B11" s="66" t="s">
        <v>36</v>
      </c>
      <c r="C11" s="66" t="s">
        <v>102</v>
      </c>
      <c r="D11" s="66" t="s">
        <v>38</v>
      </c>
      <c r="E11" s="67">
        <f t="shared" si="0"/>
        <v>0.85</v>
      </c>
      <c r="F11" s="66" t="s">
        <v>47</v>
      </c>
      <c r="G11" s="67">
        <f t="shared" si="12"/>
        <v>0.77</v>
      </c>
      <c r="H11" s="66" t="s">
        <v>42</v>
      </c>
      <c r="I11" s="67">
        <f t="shared" si="2"/>
        <v>0.85</v>
      </c>
      <c r="J11" s="66" t="s">
        <v>42</v>
      </c>
      <c r="K11" s="67">
        <f t="shared" si="3"/>
        <v>0.85</v>
      </c>
      <c r="L11" s="66" t="s">
        <v>41</v>
      </c>
      <c r="M11" s="67">
        <f t="shared" si="4"/>
        <v>7.52</v>
      </c>
      <c r="N11" s="66" t="s">
        <v>39</v>
      </c>
      <c r="O11" s="66">
        <f t="shared" si="5"/>
        <v>0.56000000000000005</v>
      </c>
      <c r="P11" s="66" t="s">
        <v>39</v>
      </c>
      <c r="Q11" s="66">
        <f t="shared" si="6"/>
        <v>0.56000000000000005</v>
      </c>
      <c r="R11" s="66" t="s">
        <v>39</v>
      </c>
      <c r="S11" s="66">
        <f t="shared" si="7"/>
        <v>0.56000000000000005</v>
      </c>
      <c r="T11" s="68">
        <f t="shared" si="8"/>
        <v>10</v>
      </c>
      <c r="U11" s="69">
        <f t="shared" si="9"/>
        <v>0.91481600000000007</v>
      </c>
      <c r="V11" s="70">
        <f t="shared" si="10"/>
        <v>6.0477304915445185</v>
      </c>
      <c r="W11" s="70">
        <f t="shared" si="11"/>
        <v>3.8870427750000003</v>
      </c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 spans="1:34">
      <c r="A12" s="66" t="s">
        <v>97</v>
      </c>
      <c r="B12" s="66" t="s">
        <v>73</v>
      </c>
      <c r="C12" s="72" t="s">
        <v>98</v>
      </c>
      <c r="D12" s="66" t="s">
        <v>66</v>
      </c>
      <c r="E12" s="67">
        <f t="shared" si="0"/>
        <v>0.55000000000000004</v>
      </c>
      <c r="F12" s="66" t="s">
        <v>47</v>
      </c>
      <c r="G12" s="67">
        <f t="shared" si="12"/>
        <v>0.77</v>
      </c>
      <c r="H12" s="66" t="s">
        <v>39</v>
      </c>
      <c r="I12" s="67">
        <f t="shared" si="2"/>
        <v>0.27</v>
      </c>
      <c r="J12" s="66" t="s">
        <v>42</v>
      </c>
      <c r="K12" s="67">
        <f t="shared" si="3"/>
        <v>0.85</v>
      </c>
      <c r="L12" s="66" t="s">
        <v>59</v>
      </c>
      <c r="M12" s="67">
        <f t="shared" si="4"/>
        <v>6.42</v>
      </c>
      <c r="N12" s="66" t="s">
        <v>47</v>
      </c>
      <c r="O12" s="66">
        <f t="shared" si="5"/>
        <v>0.22</v>
      </c>
      <c r="P12" s="66" t="s">
        <v>39</v>
      </c>
      <c r="Q12" s="66">
        <f t="shared" si="6"/>
        <v>0.56000000000000005</v>
      </c>
      <c r="R12" s="66" t="s">
        <v>47</v>
      </c>
      <c r="S12" s="66">
        <f t="shared" si="7"/>
        <v>0.22</v>
      </c>
      <c r="T12" s="68">
        <f t="shared" si="8"/>
        <v>5.5003201950000005</v>
      </c>
      <c r="U12" s="69">
        <f t="shared" si="9"/>
        <v>0.73230400000000007</v>
      </c>
      <c r="V12" s="70">
        <f t="shared" si="10"/>
        <v>4.7013916800000004</v>
      </c>
      <c r="W12" s="70">
        <f t="shared" si="11"/>
        <v>0.79892851500000017</v>
      </c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spans="1:34">
      <c r="A13" s="66" t="s">
        <v>48</v>
      </c>
      <c r="B13" s="66" t="s">
        <v>51</v>
      </c>
      <c r="C13" s="72" t="s">
        <v>79</v>
      </c>
      <c r="D13" s="66" t="s">
        <v>38</v>
      </c>
      <c r="E13" s="67">
        <f t="shared" si="0"/>
        <v>0.85</v>
      </c>
      <c r="F13" s="66" t="s">
        <v>47</v>
      </c>
      <c r="G13" s="67">
        <f t="shared" si="12"/>
        <v>0.77</v>
      </c>
      <c r="H13" s="66" t="s">
        <v>42</v>
      </c>
      <c r="I13" s="67">
        <f t="shared" si="2"/>
        <v>0.85</v>
      </c>
      <c r="J13" s="66" t="s">
        <v>42</v>
      </c>
      <c r="K13" s="67">
        <f t="shared" si="3"/>
        <v>0.85</v>
      </c>
      <c r="L13" s="66" t="s">
        <v>59</v>
      </c>
      <c r="M13" s="67">
        <f t="shared" si="4"/>
        <v>6.42</v>
      </c>
      <c r="N13" s="66" t="s">
        <v>39</v>
      </c>
      <c r="O13" s="66">
        <f t="shared" si="5"/>
        <v>0.56000000000000005</v>
      </c>
      <c r="P13" s="66" t="s">
        <v>42</v>
      </c>
      <c r="Q13" s="66">
        <f t="shared" si="6"/>
        <v>0</v>
      </c>
      <c r="R13" s="66" t="s">
        <v>42</v>
      </c>
      <c r="S13" s="66">
        <f t="shared" si="7"/>
        <v>0</v>
      </c>
      <c r="T13" s="68">
        <f t="shared" si="8"/>
        <v>7.4822427750000005</v>
      </c>
      <c r="U13" s="69">
        <f t="shared" si="9"/>
        <v>0.56000000000000005</v>
      </c>
      <c r="V13" s="70">
        <f t="shared" si="10"/>
        <v>3.5952000000000002</v>
      </c>
      <c r="W13" s="70">
        <f t="shared" si="11"/>
        <v>3.8870427750000003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spans="1:34">
      <c r="A14" s="66" t="s">
        <v>85</v>
      </c>
      <c r="B14" s="66" t="s">
        <v>44</v>
      </c>
      <c r="C14" s="72" t="s">
        <v>88</v>
      </c>
      <c r="D14" s="66" t="s">
        <v>38</v>
      </c>
      <c r="E14" s="67">
        <f t="shared" si="0"/>
        <v>0.85</v>
      </c>
      <c r="F14" s="66" t="s">
        <v>47</v>
      </c>
      <c r="G14" s="67">
        <f t="shared" si="12"/>
        <v>0.77</v>
      </c>
      <c r="H14" s="66" t="s">
        <v>42</v>
      </c>
      <c r="I14" s="67">
        <f t="shared" si="2"/>
        <v>0.85</v>
      </c>
      <c r="J14" s="66" t="s">
        <v>42</v>
      </c>
      <c r="K14" s="67">
        <f t="shared" si="3"/>
        <v>0.85</v>
      </c>
      <c r="L14" s="66" t="s">
        <v>59</v>
      </c>
      <c r="M14" s="67">
        <f t="shared" si="4"/>
        <v>6.42</v>
      </c>
      <c r="N14" s="66" t="s">
        <v>39</v>
      </c>
      <c r="O14" s="66">
        <f t="shared" si="5"/>
        <v>0.56000000000000005</v>
      </c>
      <c r="P14" s="66" t="s">
        <v>39</v>
      </c>
      <c r="Q14" s="66">
        <f t="shared" si="6"/>
        <v>0.56000000000000005</v>
      </c>
      <c r="R14" s="66" t="s">
        <v>39</v>
      </c>
      <c r="S14" s="66">
        <f t="shared" si="7"/>
        <v>0.56000000000000005</v>
      </c>
      <c r="T14" s="68">
        <f t="shared" si="8"/>
        <v>9.760161495000002</v>
      </c>
      <c r="U14" s="69">
        <f t="shared" si="9"/>
        <v>0.91481600000000007</v>
      </c>
      <c r="V14" s="70">
        <f t="shared" si="10"/>
        <v>5.8731187200000008</v>
      </c>
      <c r="W14" s="70">
        <f t="shared" si="11"/>
        <v>3.8870427750000003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pans="1:34">
      <c r="A15" s="66" t="s">
        <v>50</v>
      </c>
      <c r="B15" s="66" t="s">
        <v>36</v>
      </c>
      <c r="C15" s="72" t="s">
        <v>96</v>
      </c>
      <c r="D15" s="66" t="s">
        <v>38</v>
      </c>
      <c r="E15" s="67">
        <f t="shared" si="0"/>
        <v>0.85</v>
      </c>
      <c r="F15" s="66" t="s">
        <v>47</v>
      </c>
      <c r="G15" s="67">
        <f t="shared" si="12"/>
        <v>0.77</v>
      </c>
      <c r="H15" s="66" t="s">
        <v>42</v>
      </c>
      <c r="I15" s="67">
        <f t="shared" si="2"/>
        <v>0.85</v>
      </c>
      <c r="J15" s="66" t="s">
        <v>42</v>
      </c>
      <c r="K15" s="67">
        <f t="shared" si="3"/>
        <v>0.85</v>
      </c>
      <c r="L15" s="66" t="s">
        <v>59</v>
      </c>
      <c r="M15" s="67">
        <f t="shared" si="4"/>
        <v>6.42</v>
      </c>
      <c r="N15" s="66" t="s">
        <v>39</v>
      </c>
      <c r="O15" s="66">
        <f t="shared" si="5"/>
        <v>0.56000000000000005</v>
      </c>
      <c r="P15" s="66" t="s">
        <v>39</v>
      </c>
      <c r="Q15" s="66">
        <f t="shared" si="6"/>
        <v>0.56000000000000005</v>
      </c>
      <c r="R15" s="66" t="s">
        <v>42</v>
      </c>
      <c r="S15" s="66">
        <f t="shared" si="7"/>
        <v>0</v>
      </c>
      <c r="T15" s="68">
        <f t="shared" si="8"/>
        <v>9.0641307750000006</v>
      </c>
      <c r="U15" s="69">
        <f t="shared" si="9"/>
        <v>0.80640000000000001</v>
      </c>
      <c r="V15" s="70">
        <f t="shared" si="10"/>
        <v>5.1770880000000004</v>
      </c>
      <c r="W15" s="70">
        <f t="shared" si="11"/>
        <v>3.8870427750000003</v>
      </c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1:34">
      <c r="A16" s="66" t="s">
        <v>50</v>
      </c>
      <c r="B16" s="66" t="s">
        <v>57</v>
      </c>
      <c r="C16" s="72" t="s">
        <v>80</v>
      </c>
      <c r="D16" s="66" t="s">
        <v>66</v>
      </c>
      <c r="E16" s="67">
        <f t="shared" si="0"/>
        <v>0.55000000000000004</v>
      </c>
      <c r="F16" s="66" t="s">
        <v>47</v>
      </c>
      <c r="G16" s="67">
        <f t="shared" si="12"/>
        <v>0.77</v>
      </c>
      <c r="H16" s="66" t="s">
        <v>39</v>
      </c>
      <c r="I16" s="67">
        <f t="shared" si="2"/>
        <v>0.5</v>
      </c>
      <c r="J16" s="66" t="s">
        <v>42</v>
      </c>
      <c r="K16" s="67">
        <f t="shared" si="3"/>
        <v>0.85</v>
      </c>
      <c r="L16" s="66" t="s">
        <v>41</v>
      </c>
      <c r="M16" s="67">
        <f t="shared" si="4"/>
        <v>7.52</v>
      </c>
      <c r="N16" s="66" t="s">
        <v>39</v>
      </c>
      <c r="O16" s="66">
        <f t="shared" si="5"/>
        <v>0.56000000000000005</v>
      </c>
      <c r="P16" s="66" t="s">
        <v>39</v>
      </c>
      <c r="Q16" s="66">
        <f t="shared" si="6"/>
        <v>0.56000000000000005</v>
      </c>
      <c r="R16" s="66" t="s">
        <v>39</v>
      </c>
      <c r="S16" s="66">
        <f t="shared" si="7"/>
        <v>0.56000000000000005</v>
      </c>
      <c r="T16" s="68">
        <f t="shared" si="8"/>
        <v>8.1294059608680804</v>
      </c>
      <c r="U16" s="69">
        <f t="shared" si="9"/>
        <v>0.91481600000000007</v>
      </c>
      <c r="V16" s="70">
        <f t="shared" si="10"/>
        <v>6.0477304915445185</v>
      </c>
      <c r="W16" s="70">
        <f t="shared" si="11"/>
        <v>1.4794972500000001</v>
      </c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pans="1:34">
      <c r="A17" s="66" t="s">
        <v>68</v>
      </c>
      <c r="B17" s="66" t="s">
        <v>51</v>
      </c>
      <c r="C17" s="72" t="s">
        <v>70</v>
      </c>
      <c r="D17" s="66" t="s">
        <v>38</v>
      </c>
      <c r="E17" s="67">
        <f t="shared" si="0"/>
        <v>0.85</v>
      </c>
      <c r="F17" s="66" t="s">
        <v>39</v>
      </c>
      <c r="G17" s="67">
        <f t="shared" si="12"/>
        <v>0.44</v>
      </c>
      <c r="H17" s="66" t="s">
        <v>47</v>
      </c>
      <c r="I17" s="67">
        <f t="shared" si="2"/>
        <v>0.68</v>
      </c>
      <c r="J17" s="66" t="s">
        <v>40</v>
      </c>
      <c r="K17" s="67">
        <f t="shared" si="3"/>
        <v>0.62</v>
      </c>
      <c r="L17" s="66" t="s">
        <v>41</v>
      </c>
      <c r="M17" s="67">
        <f t="shared" si="4"/>
        <v>7.52</v>
      </c>
      <c r="N17" s="66" t="s">
        <v>39</v>
      </c>
      <c r="O17" s="66">
        <f t="shared" si="5"/>
        <v>0.56000000000000005</v>
      </c>
      <c r="P17" s="66" t="s">
        <v>42</v>
      </c>
      <c r="Q17" s="66">
        <f t="shared" si="6"/>
        <v>0</v>
      </c>
      <c r="R17" s="66" t="s">
        <v>42</v>
      </c>
      <c r="S17" s="66">
        <f t="shared" si="7"/>
        <v>0</v>
      </c>
      <c r="T17" s="68">
        <f t="shared" si="8"/>
        <v>5.7120355715551225</v>
      </c>
      <c r="U17" s="69">
        <f t="shared" si="9"/>
        <v>0.56000000000000005</v>
      </c>
      <c r="V17" s="70">
        <f t="shared" si="10"/>
        <v>3.9928053775140029</v>
      </c>
      <c r="W17" s="70">
        <f t="shared" si="11"/>
        <v>1.2961164479999998</v>
      </c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pans="1:34">
      <c r="A18" s="66" t="s">
        <v>50</v>
      </c>
      <c r="B18" s="66" t="s">
        <v>51</v>
      </c>
      <c r="C18" s="72" t="s">
        <v>71</v>
      </c>
      <c r="D18" s="66" t="s">
        <v>38</v>
      </c>
      <c r="E18" s="67">
        <f t="shared" si="0"/>
        <v>0.85</v>
      </c>
      <c r="F18" s="66" t="s">
        <v>39</v>
      </c>
      <c r="G18" s="67">
        <f t="shared" si="12"/>
        <v>0.44</v>
      </c>
      <c r="H18" s="66" t="s">
        <v>47</v>
      </c>
      <c r="I18" s="67">
        <f t="shared" si="2"/>
        <v>0.68</v>
      </c>
      <c r="J18" s="66" t="s">
        <v>40</v>
      </c>
      <c r="K18" s="67">
        <f t="shared" si="3"/>
        <v>0.62</v>
      </c>
      <c r="L18" s="66" t="s">
        <v>41</v>
      </c>
      <c r="M18" s="67">
        <f t="shared" si="4"/>
        <v>7.52</v>
      </c>
      <c r="N18" s="66" t="s">
        <v>39</v>
      </c>
      <c r="O18" s="66">
        <f t="shared" si="5"/>
        <v>0.56000000000000005</v>
      </c>
      <c r="P18" s="66" t="s">
        <v>42</v>
      </c>
      <c r="Q18" s="66">
        <f t="shared" si="6"/>
        <v>0</v>
      </c>
      <c r="R18" s="66" t="s">
        <v>42</v>
      </c>
      <c r="S18" s="66">
        <f t="shared" si="7"/>
        <v>0</v>
      </c>
      <c r="T18" s="68">
        <f t="shared" si="8"/>
        <v>5.7120355715551225</v>
      </c>
      <c r="U18" s="69">
        <f t="shared" si="9"/>
        <v>0.56000000000000005</v>
      </c>
      <c r="V18" s="70">
        <f t="shared" si="10"/>
        <v>3.9928053775140029</v>
      </c>
      <c r="W18" s="70">
        <f t="shared" si="11"/>
        <v>1.2961164479999998</v>
      </c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spans="1:34">
      <c r="A19" s="66" t="s">
        <v>35</v>
      </c>
      <c r="B19" s="66" t="s">
        <v>51</v>
      </c>
      <c r="C19" s="72" t="s">
        <v>87</v>
      </c>
      <c r="D19" s="66" t="s">
        <v>38</v>
      </c>
      <c r="E19" s="67">
        <f t="shared" si="0"/>
        <v>0.85</v>
      </c>
      <c r="F19" s="66" t="s">
        <v>39</v>
      </c>
      <c r="G19" s="67">
        <f t="shared" si="12"/>
        <v>0.44</v>
      </c>
      <c r="H19" s="66" t="s">
        <v>39</v>
      </c>
      <c r="I19" s="67">
        <f t="shared" si="2"/>
        <v>0.27</v>
      </c>
      <c r="J19" s="66" t="s">
        <v>42</v>
      </c>
      <c r="K19" s="67">
        <f t="shared" si="3"/>
        <v>0.85</v>
      </c>
      <c r="L19" s="66" t="s">
        <v>59</v>
      </c>
      <c r="M19" s="67">
        <f t="shared" si="4"/>
        <v>6.42</v>
      </c>
      <c r="N19" s="66" t="s">
        <v>39</v>
      </c>
      <c r="O19" s="66">
        <f t="shared" si="5"/>
        <v>0.56000000000000005</v>
      </c>
      <c r="P19" s="66" t="s">
        <v>42</v>
      </c>
      <c r="Q19" s="66">
        <f t="shared" si="6"/>
        <v>0</v>
      </c>
      <c r="R19" s="66" t="s">
        <v>42</v>
      </c>
      <c r="S19" s="66">
        <f t="shared" si="7"/>
        <v>0</v>
      </c>
      <c r="T19" s="68">
        <f t="shared" si="8"/>
        <v>4.3007472600000005</v>
      </c>
      <c r="U19" s="69">
        <f t="shared" si="9"/>
        <v>0.56000000000000005</v>
      </c>
      <c r="V19" s="70">
        <f t="shared" si="10"/>
        <v>3.5952000000000002</v>
      </c>
      <c r="W19" s="70">
        <f t="shared" si="11"/>
        <v>0.70554726000000001</v>
      </c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spans="1:34">
      <c r="A20" s="66" t="s">
        <v>43</v>
      </c>
      <c r="B20" s="66" t="s">
        <v>36</v>
      </c>
      <c r="C20" s="72" t="s">
        <v>99</v>
      </c>
      <c r="D20" s="66" t="s">
        <v>46</v>
      </c>
      <c r="E20" s="67">
        <f t="shared" si="0"/>
        <v>0.62</v>
      </c>
      <c r="F20" s="66" t="s">
        <v>39</v>
      </c>
      <c r="G20" s="67">
        <f t="shared" si="12"/>
        <v>0.44</v>
      </c>
      <c r="H20" s="66" t="s">
        <v>42</v>
      </c>
      <c r="I20" s="67">
        <f t="shared" si="2"/>
        <v>0.85</v>
      </c>
      <c r="J20" s="66" t="s">
        <v>40</v>
      </c>
      <c r="K20" s="67">
        <f t="shared" si="3"/>
        <v>0.62</v>
      </c>
      <c r="L20" s="66" t="s">
        <v>41</v>
      </c>
      <c r="M20" s="67">
        <f t="shared" si="4"/>
        <v>7.52</v>
      </c>
      <c r="N20" s="66" t="s">
        <v>39</v>
      </c>
      <c r="O20" s="66">
        <f t="shared" si="5"/>
        <v>0.56000000000000005</v>
      </c>
      <c r="P20" s="66" t="s">
        <v>39</v>
      </c>
      <c r="Q20" s="66">
        <f t="shared" si="6"/>
        <v>0.56000000000000005</v>
      </c>
      <c r="R20" s="66" t="s">
        <v>42</v>
      </c>
      <c r="S20" s="66">
        <f t="shared" si="7"/>
        <v>0</v>
      </c>
      <c r="T20" s="68">
        <f t="shared" si="8"/>
        <v>7.4945349357786872</v>
      </c>
      <c r="U20" s="69">
        <f t="shared" si="9"/>
        <v>0.80640000000000001</v>
      </c>
      <c r="V20" s="70">
        <f t="shared" si="10"/>
        <v>5.7576309677950803</v>
      </c>
      <c r="W20" s="70">
        <f t="shared" si="11"/>
        <v>1.1817532319999999</v>
      </c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spans="1:34">
      <c r="A21" s="66" t="s">
        <v>85</v>
      </c>
      <c r="B21" s="66" t="s">
        <v>51</v>
      </c>
      <c r="C21" s="72" t="s">
        <v>145</v>
      </c>
      <c r="D21" s="66" t="s">
        <v>38</v>
      </c>
      <c r="E21" s="67">
        <f t="shared" si="0"/>
        <v>0.85</v>
      </c>
      <c r="F21" s="66" t="s">
        <v>47</v>
      </c>
      <c r="G21" s="67">
        <f t="shared" si="12"/>
        <v>0.77</v>
      </c>
      <c r="H21" s="66" t="s">
        <v>39</v>
      </c>
      <c r="I21" s="67">
        <f t="shared" si="2"/>
        <v>0.27</v>
      </c>
      <c r="J21" s="66" t="s">
        <v>42</v>
      </c>
      <c r="K21" s="67">
        <f t="shared" si="3"/>
        <v>0.85</v>
      </c>
      <c r="L21" s="66" t="s">
        <v>59</v>
      </c>
      <c r="M21" s="67">
        <f t="shared" si="4"/>
        <v>6.42</v>
      </c>
      <c r="N21" s="66" t="s">
        <v>39</v>
      </c>
      <c r="O21" s="66">
        <f t="shared" si="5"/>
        <v>0.56000000000000005</v>
      </c>
      <c r="P21" s="66" t="s">
        <v>42</v>
      </c>
      <c r="Q21" s="66">
        <f t="shared" si="6"/>
        <v>0</v>
      </c>
      <c r="R21" s="66" t="s">
        <v>42</v>
      </c>
      <c r="S21" s="66">
        <f t="shared" si="7"/>
        <v>0</v>
      </c>
      <c r="T21" s="68">
        <f t="shared" si="8"/>
        <v>4.8299077050000001</v>
      </c>
      <c r="U21" s="69">
        <f t="shared" si="9"/>
        <v>0.56000000000000005</v>
      </c>
      <c r="V21" s="70">
        <f t="shared" si="10"/>
        <v>3.5952000000000002</v>
      </c>
      <c r="W21" s="70">
        <f t="shared" si="11"/>
        <v>1.2347077050000002</v>
      </c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spans="1:34">
      <c r="A22" s="66" t="s">
        <v>43</v>
      </c>
      <c r="B22" s="66" t="s">
        <v>44</v>
      </c>
      <c r="C22" s="72" t="s">
        <v>95</v>
      </c>
      <c r="D22" s="66" t="s">
        <v>46</v>
      </c>
      <c r="E22" s="67">
        <f t="shared" si="0"/>
        <v>0.62</v>
      </c>
      <c r="F22" s="66" t="s">
        <v>47</v>
      </c>
      <c r="G22" s="67">
        <f t="shared" si="12"/>
        <v>0.77</v>
      </c>
      <c r="H22" s="66" t="s">
        <v>42</v>
      </c>
      <c r="I22" s="67">
        <f t="shared" si="2"/>
        <v>0.85</v>
      </c>
      <c r="J22" s="66" t="s">
        <v>40</v>
      </c>
      <c r="K22" s="67">
        <f t="shared" si="3"/>
        <v>0.62</v>
      </c>
      <c r="L22" s="66" t="s">
        <v>41</v>
      </c>
      <c r="M22" s="67">
        <f t="shared" si="4"/>
        <v>7.52</v>
      </c>
      <c r="N22" s="66" t="s">
        <v>47</v>
      </c>
      <c r="O22" s="66">
        <f t="shared" si="5"/>
        <v>0.22</v>
      </c>
      <c r="P22" s="66" t="s">
        <v>47</v>
      </c>
      <c r="Q22" s="66">
        <f t="shared" si="6"/>
        <v>0.22</v>
      </c>
      <c r="R22" s="66" t="s">
        <v>42</v>
      </c>
      <c r="S22" s="66">
        <f t="shared" si="7"/>
        <v>0</v>
      </c>
      <c r="T22" s="68">
        <f t="shared" si="8"/>
        <v>5.1784045198243218</v>
      </c>
      <c r="U22" s="69">
        <f t="shared" si="9"/>
        <v>0.39159999999999995</v>
      </c>
      <c r="V22" s="70">
        <f t="shared" si="10"/>
        <v>2.7267508438373347</v>
      </c>
      <c r="W22" s="70">
        <f t="shared" si="11"/>
        <v>2.0680681560000003</v>
      </c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>
        <f>SUM(T5:T22)</f>
        <v>127.75933824363251</v>
      </c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7">
    <mergeCell ref="C5:C6"/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22 P5:P22 R5:R22" xr:uid="{00000000-0002-0000-1C00-000000000000}">
      <formula1>"High,Low,None"</formula1>
    </dataValidation>
    <dataValidation type="list" allowBlank="1" showErrorMessage="1" sqref="B5:B22" xr:uid="{00000000-0002-0000-1C00-000001000000}">
      <formula1>"Spoofing ,Tampering,Repudiation,Information Disclosure,Denial of Service,Elevation of Privilage"</formula1>
    </dataValidation>
    <dataValidation type="list" allowBlank="1" showErrorMessage="1" sqref="L5:L22" xr:uid="{00000000-0002-0000-1C00-000002000000}">
      <formula1>"Unchanged,Changed"</formula1>
    </dataValidation>
    <dataValidation type="list" allowBlank="1" showErrorMessage="1" sqref="F5:F22" xr:uid="{00000000-0002-0000-1C00-000003000000}">
      <formula1>"Low,High"</formula1>
    </dataValidation>
    <dataValidation type="list" allowBlank="1" showErrorMessage="1" sqref="D5:D22" xr:uid="{00000000-0002-0000-1C00-000004000000}">
      <formula1>"Network,Adjacent Network,Local,Physical"</formula1>
    </dataValidation>
    <dataValidation type="list" allowBlank="1" showErrorMessage="1" sqref="A9:A16 A19:A21" xr:uid="{00000000-0002-0000-1C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22" xr:uid="{00000000-0002-0000-1C00-000006000000}">
      <formula1>"None,Required"</formula1>
    </dataValidation>
    <dataValidation type="list" allowBlank="1" showErrorMessage="1" sqref="A5:A8 A17:A18 A22" xr:uid="{00000000-0002-0000-1C00-000007000000}">
      <formula1>"Admin,Admin Service,Book Database,Book Service,Bookshop system,Browser,Customer,F6,Firerwall, API Gateway,Payment Service,R1,R10,R13,R14,R15,R2,R3,R4,R5,R7,R8,User Database,User Service"</formula1>
    </dataValidation>
    <dataValidation type="list" allowBlank="1" showErrorMessage="1" sqref="H5:H22" xr:uid="{00000000-0002-0000-1C00-000008000000}">
      <formula1>"None,Low,High"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H34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15.1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68</v>
      </c>
      <c r="B5" s="19" t="s">
        <v>57</v>
      </c>
      <c r="C5" s="19" t="s">
        <v>89</v>
      </c>
      <c r="D5" s="19" t="s">
        <v>38</v>
      </c>
      <c r="E5" s="18">
        <f t="shared" ref="E5:E8" si="0">IF(D5="Network",0.85,IF(D5="Adjacent Network",0.62,IF(D5="Local",0.55,IF(D5="Physical",0.2,0))))</f>
        <v>0.85</v>
      </c>
      <c r="F5" s="19" t="s">
        <v>47</v>
      </c>
      <c r="G5" s="18">
        <f>IF(F5="High",0.44,IF(F5="Low",0.77,0))</f>
        <v>0.77</v>
      </c>
      <c r="H5" s="19" t="s">
        <v>47</v>
      </c>
      <c r="I5" s="18">
        <f t="shared" ref="I5:I8" si="1">IF(H5="None",0.85,IF(AND(H5="Low",L5="Unchanged"),0.62,IF(AND(H5="Low",L5="Changed"),0.68,IF(AND(H5="High",L5="Changed"),0.5,IF(AND(H5="High",L5="Unchanged"),0.27,0)))))</f>
        <v>0.62</v>
      </c>
      <c r="J5" s="19" t="s">
        <v>42</v>
      </c>
      <c r="K5" s="18">
        <f t="shared" ref="K5:K8" si="2">IF(J5="Required",0.62,IF(J5="None",0.85,0))</f>
        <v>0.85</v>
      </c>
      <c r="L5" s="19" t="s">
        <v>59</v>
      </c>
      <c r="M5" s="18">
        <f t="shared" ref="M5:M8" si="3">IF(L5="Changed",7.52,IF(L5="Unchanged",6.42,0))</f>
        <v>6.42</v>
      </c>
      <c r="N5" s="19" t="s">
        <v>42</v>
      </c>
      <c r="O5" s="19">
        <f t="shared" ref="O5:O8" si="4">IF(N5="High",0.56,IF(N5="Low",0.22,IF(N5="None",0,0)))</f>
        <v>0</v>
      </c>
      <c r="P5" s="19" t="s">
        <v>42</v>
      </c>
      <c r="Q5" s="19">
        <f t="shared" ref="Q5:Q8" si="5">IF(P5="High",0.56,IF(P5="Low",0.22,IF(P5="None",0,0)))</f>
        <v>0</v>
      </c>
      <c r="R5" s="19" t="s">
        <v>39</v>
      </c>
      <c r="S5" s="19">
        <f t="shared" ref="S5:S8" si="6">IF(R5="High",0.56,IF(R5="Low",0.22,IF(R5="None",0,0)))</f>
        <v>0.56000000000000005</v>
      </c>
      <c r="T5" s="20">
        <f t="shared" ref="T5:T8" si="7">IF(V5&lt;=0,0,IF(L5="Unchanged",MIN(W5+V5,10),MIN((W5+V5)*1.08,10)))</f>
        <v>6.4304547300000001</v>
      </c>
      <c r="U5" s="21">
        <f t="shared" ref="U5:U8" si="8">(1-((1-O5)*(1-Q5)*(1-S5)))</f>
        <v>0.56000000000000005</v>
      </c>
      <c r="V5" s="22">
        <f t="shared" ref="V5:V8" si="9">IF(L5="Unchanged",M5*U5,M5*(U5-0.029)-3.25*POWER(U5-0.02,15))</f>
        <v>3.5952000000000002</v>
      </c>
      <c r="W5" s="22">
        <f t="shared" ref="W5:W8" si="10">8.22*E5*G5*I5*K5</f>
        <v>2.8352547299999999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90</v>
      </c>
      <c r="B6" s="19" t="s">
        <v>44</v>
      </c>
      <c r="C6" s="19" t="s">
        <v>91</v>
      </c>
      <c r="D6" s="19" t="s">
        <v>38</v>
      </c>
      <c r="E6" s="18">
        <f t="shared" si="0"/>
        <v>0.85</v>
      </c>
      <c r="F6" s="19" t="s">
        <v>47</v>
      </c>
      <c r="G6" s="18">
        <f t="shared" ref="G6:G8" si="11">IF(F6="Low",0.77,IF(F6="High",0.44,0))</f>
        <v>0.77</v>
      </c>
      <c r="H6" s="19" t="s">
        <v>42</v>
      </c>
      <c r="I6" s="18">
        <f t="shared" si="1"/>
        <v>0.85</v>
      </c>
      <c r="J6" s="19" t="s">
        <v>42</v>
      </c>
      <c r="K6" s="18">
        <f t="shared" si="2"/>
        <v>0.85</v>
      </c>
      <c r="L6" s="19" t="s">
        <v>59</v>
      </c>
      <c r="M6" s="18">
        <f t="shared" si="3"/>
        <v>6.42</v>
      </c>
      <c r="N6" s="19" t="s">
        <v>47</v>
      </c>
      <c r="O6" s="19">
        <f t="shared" si="4"/>
        <v>0.22</v>
      </c>
      <c r="P6" s="19" t="s">
        <v>39</v>
      </c>
      <c r="Q6" s="19">
        <f t="shared" si="5"/>
        <v>0.56000000000000005</v>
      </c>
      <c r="R6" s="19" t="s">
        <v>39</v>
      </c>
      <c r="S6" s="19">
        <f t="shared" si="6"/>
        <v>0.56000000000000005</v>
      </c>
      <c r="T6" s="20">
        <f t="shared" si="7"/>
        <v>9.3375714150000011</v>
      </c>
      <c r="U6" s="21">
        <f t="shared" si="8"/>
        <v>0.84899200000000008</v>
      </c>
      <c r="V6" s="22">
        <f t="shared" si="9"/>
        <v>5.4505286400000008</v>
      </c>
      <c r="W6" s="22">
        <f t="shared" si="10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68</v>
      </c>
      <c r="B7" s="19" t="s">
        <v>51</v>
      </c>
      <c r="C7" s="19" t="s">
        <v>92</v>
      </c>
      <c r="D7" s="19" t="s">
        <v>38</v>
      </c>
      <c r="E7" s="18">
        <f t="shared" si="0"/>
        <v>0.85</v>
      </c>
      <c r="F7" s="19" t="s">
        <v>39</v>
      </c>
      <c r="G7" s="18">
        <f t="shared" si="11"/>
        <v>0.44</v>
      </c>
      <c r="H7" s="19" t="s">
        <v>42</v>
      </c>
      <c r="I7" s="18">
        <f t="shared" si="1"/>
        <v>0.85</v>
      </c>
      <c r="J7" s="19" t="s">
        <v>40</v>
      </c>
      <c r="K7" s="18">
        <f t="shared" si="2"/>
        <v>0.62</v>
      </c>
      <c r="L7" s="19" t="s">
        <v>59</v>
      </c>
      <c r="M7" s="18">
        <f t="shared" si="3"/>
        <v>6.42</v>
      </c>
      <c r="N7" s="19" t="s">
        <v>47</v>
      </c>
      <c r="O7" s="19">
        <f t="shared" si="4"/>
        <v>0.22</v>
      </c>
      <c r="P7" s="19" t="s">
        <v>42</v>
      </c>
      <c r="Q7" s="19">
        <f t="shared" si="5"/>
        <v>0</v>
      </c>
      <c r="R7" s="19" t="s">
        <v>42</v>
      </c>
      <c r="S7" s="19">
        <f t="shared" si="6"/>
        <v>0</v>
      </c>
      <c r="T7" s="20">
        <f t="shared" si="7"/>
        <v>3.03254556</v>
      </c>
      <c r="U7" s="21">
        <f t="shared" si="8"/>
        <v>0.21999999999999997</v>
      </c>
      <c r="V7" s="22">
        <f t="shared" si="9"/>
        <v>1.4123999999999999</v>
      </c>
      <c r="W7" s="22">
        <f t="shared" si="10"/>
        <v>1.6201455599999999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93</v>
      </c>
      <c r="B8" s="19" t="s">
        <v>51</v>
      </c>
      <c r="C8" s="19" t="s">
        <v>94</v>
      </c>
      <c r="D8" s="19" t="s">
        <v>38</v>
      </c>
      <c r="E8" s="18">
        <f t="shared" si="0"/>
        <v>0.85</v>
      </c>
      <c r="F8" s="19" t="s">
        <v>47</v>
      </c>
      <c r="G8" s="18">
        <f t="shared" si="11"/>
        <v>0.77</v>
      </c>
      <c r="H8" s="19" t="s">
        <v>42</v>
      </c>
      <c r="I8" s="18">
        <f t="shared" si="1"/>
        <v>0.85</v>
      </c>
      <c r="J8" s="19" t="s">
        <v>42</v>
      </c>
      <c r="K8" s="18">
        <f t="shared" si="2"/>
        <v>0.85</v>
      </c>
      <c r="L8" s="19" t="s">
        <v>59</v>
      </c>
      <c r="M8" s="18">
        <f t="shared" si="3"/>
        <v>6.42</v>
      </c>
      <c r="N8" s="19" t="s">
        <v>39</v>
      </c>
      <c r="O8" s="19">
        <f t="shared" si="4"/>
        <v>0.56000000000000005</v>
      </c>
      <c r="P8" s="19" t="s">
        <v>42</v>
      </c>
      <c r="Q8" s="19">
        <f t="shared" si="5"/>
        <v>0</v>
      </c>
      <c r="R8" s="19" t="s">
        <v>42</v>
      </c>
      <c r="S8" s="19">
        <f t="shared" si="6"/>
        <v>0</v>
      </c>
      <c r="T8" s="20">
        <f t="shared" si="7"/>
        <v>7.4822427750000005</v>
      </c>
      <c r="U8" s="21">
        <f t="shared" si="8"/>
        <v>0.56000000000000005</v>
      </c>
      <c r="V8" s="22">
        <f t="shared" si="9"/>
        <v>3.5952000000000002</v>
      </c>
      <c r="W8" s="22">
        <f t="shared" si="10"/>
        <v>3.8870427750000003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 ht="15.75" customHeight="1">
      <c r="T9" s="20">
        <f>SUM(T5:T8)</f>
        <v>26.282814479999999</v>
      </c>
      <c r="U9" s="21"/>
      <c r="V9" s="22"/>
      <c r="W9" s="22"/>
    </row>
    <row r="10" spans="1:34" ht="15.75" customHeight="1">
      <c r="T10" s="20"/>
      <c r="U10" s="21"/>
      <c r="V10" s="22"/>
      <c r="W10" s="22"/>
    </row>
    <row r="11" spans="1:34" ht="15.75" customHeight="1">
      <c r="T11" s="20"/>
      <c r="U11" s="21"/>
      <c r="V11" s="22"/>
      <c r="W11" s="22"/>
    </row>
    <row r="12" spans="1:34" ht="15.75" customHeight="1">
      <c r="T12" s="20"/>
      <c r="U12" s="21"/>
      <c r="V12" s="22"/>
      <c r="W12" s="22"/>
    </row>
    <row r="13" spans="1:34" ht="15.75" customHeight="1">
      <c r="T13" s="20"/>
      <c r="U13" s="21"/>
      <c r="V13" s="22"/>
      <c r="W13" s="22"/>
    </row>
    <row r="14" spans="1:34" ht="15.75" customHeight="1">
      <c r="T14" s="20"/>
      <c r="U14" s="21"/>
      <c r="V14" s="22"/>
      <c r="W14" s="22"/>
    </row>
    <row r="15" spans="1:34" ht="15.75" customHeight="1">
      <c r="T15" s="20"/>
      <c r="U15" s="21"/>
      <c r="V15" s="22"/>
      <c r="W15" s="22"/>
    </row>
    <row r="16" spans="1:34" ht="15.75" customHeight="1">
      <c r="T16" s="20"/>
      <c r="U16" s="21"/>
      <c r="V16" s="22"/>
      <c r="W16" s="22"/>
    </row>
    <row r="17" spans="20:23" ht="15.75" customHeight="1">
      <c r="T17" s="20"/>
      <c r="U17" s="21"/>
      <c r="V17" s="22"/>
      <c r="W17" s="22"/>
    </row>
    <row r="18" spans="20:23" ht="15.75" customHeight="1">
      <c r="T18" s="20"/>
      <c r="U18" s="21"/>
      <c r="V18" s="22"/>
      <c r="W18" s="22"/>
    </row>
    <row r="19" spans="20:23" ht="15.75" customHeight="1">
      <c r="T19" s="20"/>
      <c r="U19" s="21"/>
      <c r="V19" s="22"/>
      <c r="W19" s="22"/>
    </row>
    <row r="20" spans="20:23" ht="15.75" customHeight="1">
      <c r="T20" s="20"/>
      <c r="U20" s="21"/>
      <c r="V20" s="22"/>
      <c r="W20" s="22"/>
    </row>
    <row r="21" spans="20:23" ht="15.75" customHeight="1">
      <c r="T21" s="20"/>
      <c r="U21" s="21"/>
      <c r="V21" s="22"/>
      <c r="W21" s="22"/>
    </row>
    <row r="22" spans="20:23" ht="15.75" customHeight="1">
      <c r="T22" s="20"/>
      <c r="U22" s="21"/>
      <c r="V22" s="22"/>
      <c r="W22" s="22"/>
    </row>
    <row r="23" spans="20:23" ht="15.75" customHeight="1">
      <c r="T23" s="20"/>
      <c r="U23" s="21"/>
      <c r="V23" s="22"/>
      <c r="W23" s="22"/>
    </row>
    <row r="24" spans="20:23" ht="15.75" customHeight="1">
      <c r="T24" s="20"/>
      <c r="U24" s="21"/>
      <c r="V24" s="22"/>
      <c r="W24" s="22"/>
    </row>
    <row r="25" spans="20:23" ht="15.75" customHeight="1">
      <c r="T25" s="20"/>
      <c r="U25" s="21"/>
      <c r="V25" s="22"/>
      <c r="W25" s="22"/>
    </row>
    <row r="26" spans="20:23" ht="15.75" customHeight="1">
      <c r="T26" s="20"/>
      <c r="U26" s="21"/>
      <c r="V26" s="22"/>
      <c r="W26" s="22"/>
    </row>
    <row r="27" spans="20:23" ht="15.75" customHeight="1">
      <c r="T27" s="20"/>
      <c r="U27" s="21"/>
      <c r="V27" s="22"/>
      <c r="W27" s="22"/>
    </row>
    <row r="28" spans="20:23" ht="15.75" customHeight="1">
      <c r="T28" s="20"/>
      <c r="U28" s="21"/>
      <c r="V28" s="22"/>
      <c r="W28" s="22"/>
    </row>
    <row r="29" spans="20:23" ht="15.75" customHeight="1">
      <c r="T29" s="20"/>
      <c r="U29" s="21"/>
      <c r="V29" s="22"/>
      <c r="W29" s="22"/>
    </row>
    <row r="30" spans="20:23" ht="15.75" customHeight="1">
      <c r="T30" s="20"/>
      <c r="U30" s="21"/>
      <c r="V30" s="22"/>
      <c r="W30" s="22"/>
    </row>
    <row r="31" spans="20:23" ht="15.75" customHeight="1">
      <c r="T31" s="20"/>
      <c r="U31" s="21"/>
      <c r="V31" s="22"/>
      <c r="W31" s="22"/>
    </row>
    <row r="32" spans="20:23" ht="15.75" customHeight="1">
      <c r="T32" s="20"/>
      <c r="U32" s="21"/>
      <c r="V32" s="22"/>
      <c r="W32" s="22"/>
    </row>
    <row r="33" spans="20:23" ht="15.75" customHeight="1">
      <c r="T33" s="20"/>
      <c r="U33" s="21"/>
      <c r="V33" s="22"/>
      <c r="W33" s="22"/>
    </row>
    <row r="34" spans="20:23" ht="15.75" customHeight="1">
      <c r="T34" s="20"/>
      <c r="U34" s="21"/>
      <c r="V34" s="22"/>
      <c r="W34" s="22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8 P5:P8 R5:R8" xr:uid="{00000000-0002-0000-1D00-000000000000}">
      <formula1>"High,Low,None"</formula1>
    </dataValidation>
    <dataValidation type="list" allowBlank="1" showErrorMessage="1" sqref="B5:B8" xr:uid="{00000000-0002-0000-1D00-000001000000}">
      <formula1>"Spoofing ,Tampering,Repudiation,Information Disclosure,Denial of Service,Elevation of Privilage"</formula1>
    </dataValidation>
    <dataValidation type="list" allowBlank="1" showErrorMessage="1" sqref="L5:L8" xr:uid="{00000000-0002-0000-1D00-000002000000}">
      <formula1>"Unchanged,Changed"</formula1>
    </dataValidation>
    <dataValidation type="list" allowBlank="1" showErrorMessage="1" sqref="F5:F8" xr:uid="{00000000-0002-0000-1D00-000003000000}">
      <formula1>"Low,High"</formula1>
    </dataValidation>
    <dataValidation type="list" allowBlank="1" showErrorMessage="1" sqref="D5:D8" xr:uid="{00000000-0002-0000-1D00-000004000000}">
      <formula1>"Network,Adjacent Network,Local,Physical"</formula1>
    </dataValidation>
    <dataValidation type="list" allowBlank="1" showErrorMessage="1" sqref="A5:A8" xr:uid="{00000000-0002-0000-1D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8" xr:uid="{00000000-0002-0000-1D00-000006000000}">
      <formula1>"None,Required"</formula1>
    </dataValidation>
    <dataValidation type="list" allowBlank="1" showErrorMessage="1" sqref="H5:H8" xr:uid="{00000000-0002-0000-1D00-000007000000}">
      <formula1>"None,Low,High"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9.3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44</v>
      </c>
      <c r="C5" s="28" t="s">
        <v>88</v>
      </c>
      <c r="D5" s="19" t="s">
        <v>38</v>
      </c>
      <c r="E5" s="18">
        <f t="shared" ref="E5:E14" si="0">IF(D5="Network",0.85,IF(D5="Adjacent Network",0.62,IF(D5="Local",0.55,IF(D5="Physical",0.2,0))))</f>
        <v>0.85</v>
      </c>
      <c r="F5" s="19" t="s">
        <v>47</v>
      </c>
      <c r="G5" s="18">
        <f t="shared" ref="G5:G7" si="1">IF(F5="Low",0.77,IF(F5="High",0.44,0))</f>
        <v>0.77</v>
      </c>
      <c r="H5" s="19" t="s">
        <v>42</v>
      </c>
      <c r="I5" s="18">
        <f t="shared" ref="I5:I14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4" si="3">IF(J5="Required",0.62,IF(J5="None",0.85,0))</f>
        <v>0.85</v>
      </c>
      <c r="L5" s="19" t="s">
        <v>59</v>
      </c>
      <c r="M5" s="18">
        <f t="shared" ref="M5:M14" si="4">IF(L5="Changed",7.52,IF(L5="Unchanged",6.42,0))</f>
        <v>6.42</v>
      </c>
      <c r="N5" s="19" t="s">
        <v>39</v>
      </c>
      <c r="O5" s="19">
        <f t="shared" ref="O5:O14" si="5">IF(N5="High",0.56,IF(N5="Low",0.22,IF(N5="None",0,0)))</f>
        <v>0.56000000000000005</v>
      </c>
      <c r="P5" s="19" t="s">
        <v>39</v>
      </c>
      <c r="Q5" s="19">
        <f t="shared" ref="Q5:Q14" si="6">IF(P5="High",0.56,IF(P5="Low",0.22,IF(P5="None",0,0)))</f>
        <v>0.56000000000000005</v>
      </c>
      <c r="R5" s="19" t="s">
        <v>39</v>
      </c>
      <c r="S5" s="19">
        <f t="shared" ref="S5:S14" si="7">IF(R5="High",0.56,IF(R5="Low",0.22,IF(R5="None",0,0)))</f>
        <v>0.56000000000000005</v>
      </c>
      <c r="T5" s="20">
        <f t="shared" ref="T5:T14" si="8">IF(V5&lt;=0,0,IF(L5="Unchanged",MIN(W5+V5,10),MIN((W5+V5)*1.08,10)))</f>
        <v>9.760161495000002</v>
      </c>
      <c r="U5" s="21">
        <f t="shared" ref="U5:U14" si="9">(1-((1-O5)*(1-Q5)*(1-S5)))</f>
        <v>0.91481600000000007</v>
      </c>
      <c r="V5" s="22">
        <f t="shared" ref="V5:V14" si="10">IF(L5="Unchanged",M5*U5,M5*(U5-0.029)-3.25*POWER(U5-0.02,15))</f>
        <v>5.8731187200000008</v>
      </c>
      <c r="W5" s="22">
        <f t="shared" ref="W5:W14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90</v>
      </c>
      <c r="B6" s="19" t="s">
        <v>44</v>
      </c>
      <c r="C6" s="27" t="s">
        <v>91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47</v>
      </c>
      <c r="O6" s="19">
        <f t="shared" si="5"/>
        <v>0.22</v>
      </c>
      <c r="P6" s="19" t="s">
        <v>39</v>
      </c>
      <c r="Q6" s="19">
        <f t="shared" si="6"/>
        <v>0.56000000000000005</v>
      </c>
      <c r="R6" s="19" t="s">
        <v>39</v>
      </c>
      <c r="S6" s="19">
        <f t="shared" si="7"/>
        <v>0.56000000000000005</v>
      </c>
      <c r="T6" s="20">
        <f t="shared" si="8"/>
        <v>9.3375714150000011</v>
      </c>
      <c r="U6" s="21">
        <f t="shared" si="9"/>
        <v>0.84899200000000008</v>
      </c>
      <c r="V6" s="22">
        <f t="shared" si="10"/>
        <v>5.4505286400000008</v>
      </c>
      <c r="W6" s="22">
        <f t="shared" si="11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53</v>
      </c>
      <c r="B7" s="19" t="s">
        <v>51</v>
      </c>
      <c r="C7" s="27" t="s">
        <v>52</v>
      </c>
      <c r="D7" s="19" t="s">
        <v>38</v>
      </c>
      <c r="E7" s="18">
        <f t="shared" si="0"/>
        <v>0.85</v>
      </c>
      <c r="F7" s="19" t="s">
        <v>39</v>
      </c>
      <c r="G7" s="18">
        <f t="shared" si="1"/>
        <v>0.44</v>
      </c>
      <c r="H7" s="19" t="s">
        <v>47</v>
      </c>
      <c r="I7" s="18">
        <f t="shared" si="2"/>
        <v>0.68</v>
      </c>
      <c r="J7" s="19" t="s">
        <v>40</v>
      </c>
      <c r="K7" s="18">
        <f t="shared" si="3"/>
        <v>0.62</v>
      </c>
      <c r="L7" s="19" t="s">
        <v>41</v>
      </c>
      <c r="M7" s="18">
        <f t="shared" si="4"/>
        <v>7.52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42</v>
      </c>
      <c r="S7" s="19">
        <f t="shared" si="7"/>
        <v>0</v>
      </c>
      <c r="T7" s="20">
        <f t="shared" si="8"/>
        <v>7.6180472090586866</v>
      </c>
      <c r="U7" s="21">
        <f t="shared" si="9"/>
        <v>0.80640000000000001</v>
      </c>
      <c r="V7" s="22">
        <f t="shared" si="10"/>
        <v>5.7576309677950803</v>
      </c>
      <c r="W7" s="22">
        <f t="shared" si="11"/>
        <v>1.2961164479999998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 ht="15.75" customHeight="1">
      <c r="A8" s="17" t="s">
        <v>56</v>
      </c>
      <c r="B8" s="17" t="s">
        <v>57</v>
      </c>
      <c r="C8" s="28" t="s">
        <v>58</v>
      </c>
      <c r="D8" s="17" t="s">
        <v>38</v>
      </c>
      <c r="E8" s="29">
        <f t="shared" si="0"/>
        <v>0.85</v>
      </c>
      <c r="F8" s="17" t="s">
        <v>39</v>
      </c>
      <c r="G8" s="29">
        <f>IF(F8="High",0.44,IF(F8="Low",0.77,0))</f>
        <v>0.44</v>
      </c>
      <c r="H8" s="17" t="s">
        <v>42</v>
      </c>
      <c r="I8" s="29">
        <f t="shared" si="2"/>
        <v>0.85</v>
      </c>
      <c r="J8" s="17" t="s">
        <v>40</v>
      </c>
      <c r="K8" s="29">
        <f t="shared" si="3"/>
        <v>0.62</v>
      </c>
      <c r="L8" s="17" t="s">
        <v>59</v>
      </c>
      <c r="M8" s="29">
        <f t="shared" si="4"/>
        <v>6.42</v>
      </c>
      <c r="N8" s="17" t="s">
        <v>42</v>
      </c>
      <c r="O8" s="17">
        <f t="shared" si="5"/>
        <v>0</v>
      </c>
      <c r="P8" s="17" t="s">
        <v>42</v>
      </c>
      <c r="Q8" s="17">
        <f t="shared" si="6"/>
        <v>0</v>
      </c>
      <c r="R8" s="17" t="s">
        <v>39</v>
      </c>
      <c r="S8" s="17">
        <f t="shared" si="7"/>
        <v>0.56000000000000005</v>
      </c>
      <c r="T8" s="20">
        <f t="shared" si="8"/>
        <v>5.2153455600000003</v>
      </c>
      <c r="U8" s="21">
        <f t="shared" si="9"/>
        <v>0.56000000000000005</v>
      </c>
      <c r="V8" s="22">
        <f t="shared" si="10"/>
        <v>3.5952000000000002</v>
      </c>
      <c r="W8" s="22">
        <f t="shared" si="11"/>
        <v>1.6201455599999999</v>
      </c>
      <c r="X8" s="29"/>
      <c r="Y8" s="29"/>
      <c r="Z8" s="29"/>
      <c r="AA8" s="29"/>
      <c r="AB8" s="29"/>
      <c r="AC8" s="29"/>
      <c r="AD8" s="29"/>
      <c r="AE8" s="29"/>
      <c r="AF8" s="29"/>
      <c r="AG8" s="30"/>
      <c r="AH8" s="30"/>
    </row>
    <row r="9" spans="1:34">
      <c r="A9" s="17" t="s">
        <v>35</v>
      </c>
      <c r="B9" s="19" t="s">
        <v>36</v>
      </c>
      <c r="C9" s="27" t="s">
        <v>108</v>
      </c>
      <c r="D9" s="19" t="s">
        <v>38</v>
      </c>
      <c r="E9" s="18">
        <f t="shared" si="0"/>
        <v>0.85</v>
      </c>
      <c r="F9" s="19" t="s">
        <v>47</v>
      </c>
      <c r="G9" s="18">
        <f t="shared" ref="G9:G14" si="12">IF(F9="Low",0.77,IF(F9="High",0.44,0))</f>
        <v>0.77</v>
      </c>
      <c r="H9" s="19" t="s">
        <v>39</v>
      </c>
      <c r="I9" s="18">
        <f t="shared" si="2"/>
        <v>0.27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42</v>
      </c>
      <c r="S9" s="19">
        <f t="shared" si="7"/>
        <v>0</v>
      </c>
      <c r="T9" s="20">
        <f t="shared" si="8"/>
        <v>6.4117957050000003</v>
      </c>
      <c r="U9" s="21">
        <f t="shared" si="9"/>
        <v>0.80640000000000001</v>
      </c>
      <c r="V9" s="22">
        <f t="shared" si="10"/>
        <v>5.1770880000000004</v>
      </c>
      <c r="W9" s="22">
        <f t="shared" si="11"/>
        <v>1.2347077050000002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 ht="15.75" customHeight="1">
      <c r="A10" s="17" t="s">
        <v>50</v>
      </c>
      <c r="B10" s="17" t="s">
        <v>44</v>
      </c>
      <c r="C10" s="28" t="s">
        <v>55</v>
      </c>
      <c r="D10" s="17" t="s">
        <v>38</v>
      </c>
      <c r="E10" s="29">
        <f t="shared" si="0"/>
        <v>0.85</v>
      </c>
      <c r="F10" s="17" t="s">
        <v>39</v>
      </c>
      <c r="G10" s="29">
        <f t="shared" si="12"/>
        <v>0.44</v>
      </c>
      <c r="H10" s="17" t="s">
        <v>47</v>
      </c>
      <c r="I10" s="29">
        <f t="shared" si="2"/>
        <v>0.68</v>
      </c>
      <c r="J10" s="17" t="s">
        <v>40</v>
      </c>
      <c r="K10" s="29">
        <f t="shared" si="3"/>
        <v>0.62</v>
      </c>
      <c r="L10" s="17" t="s">
        <v>41</v>
      </c>
      <c r="M10" s="29">
        <f t="shared" si="4"/>
        <v>7.52</v>
      </c>
      <c r="N10" s="17" t="s">
        <v>39</v>
      </c>
      <c r="O10" s="17">
        <f t="shared" si="5"/>
        <v>0.56000000000000005</v>
      </c>
      <c r="P10" s="17" t="s">
        <v>42</v>
      </c>
      <c r="Q10" s="17">
        <f t="shared" si="6"/>
        <v>0</v>
      </c>
      <c r="R10" s="17" t="s">
        <v>42</v>
      </c>
      <c r="S10" s="17">
        <f t="shared" si="7"/>
        <v>0</v>
      </c>
      <c r="T10" s="20">
        <f t="shared" si="8"/>
        <v>5.7120355715551225</v>
      </c>
      <c r="U10" s="21">
        <f t="shared" si="9"/>
        <v>0.56000000000000005</v>
      </c>
      <c r="V10" s="22">
        <f t="shared" si="10"/>
        <v>3.9928053775140029</v>
      </c>
      <c r="W10" s="22">
        <f t="shared" si="11"/>
        <v>1.2961164479999998</v>
      </c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30"/>
    </row>
    <row r="11" spans="1:34">
      <c r="A11" s="17" t="s">
        <v>85</v>
      </c>
      <c r="B11" s="19" t="s">
        <v>51</v>
      </c>
      <c r="C11" s="28" t="s">
        <v>146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39</v>
      </c>
      <c r="I11" s="18">
        <f t="shared" si="2"/>
        <v>0.27</v>
      </c>
      <c r="J11" s="19" t="s">
        <v>42</v>
      </c>
      <c r="K11" s="18">
        <f t="shared" si="3"/>
        <v>0.85</v>
      </c>
      <c r="L11" s="19" t="s">
        <v>59</v>
      </c>
      <c r="M11" s="18">
        <f t="shared" si="4"/>
        <v>6.42</v>
      </c>
      <c r="N11" s="19" t="s">
        <v>39</v>
      </c>
      <c r="O11" s="19">
        <f t="shared" si="5"/>
        <v>0.56000000000000005</v>
      </c>
      <c r="P11" s="19" t="s">
        <v>42</v>
      </c>
      <c r="Q11" s="19">
        <f t="shared" si="6"/>
        <v>0</v>
      </c>
      <c r="R11" s="19" t="s">
        <v>42</v>
      </c>
      <c r="S11" s="19">
        <f t="shared" si="7"/>
        <v>0</v>
      </c>
      <c r="T11" s="20">
        <f t="shared" si="8"/>
        <v>4.8299077050000001</v>
      </c>
      <c r="U11" s="21">
        <f t="shared" si="9"/>
        <v>0.56000000000000005</v>
      </c>
      <c r="V11" s="22">
        <f t="shared" si="10"/>
        <v>3.5952000000000002</v>
      </c>
      <c r="W11" s="22">
        <f t="shared" si="11"/>
        <v>1.2347077050000002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43</v>
      </c>
      <c r="B12" s="19" t="s">
        <v>36</v>
      </c>
      <c r="C12" s="27" t="s">
        <v>99</v>
      </c>
      <c r="D12" s="19" t="s">
        <v>46</v>
      </c>
      <c r="E12" s="18">
        <f t="shared" si="0"/>
        <v>0.62</v>
      </c>
      <c r="F12" s="19" t="s">
        <v>39</v>
      </c>
      <c r="G12" s="18">
        <f t="shared" si="12"/>
        <v>0.44</v>
      </c>
      <c r="H12" s="19" t="s">
        <v>42</v>
      </c>
      <c r="I12" s="18">
        <f t="shared" si="2"/>
        <v>0.85</v>
      </c>
      <c r="J12" s="19" t="s">
        <v>40</v>
      </c>
      <c r="K12" s="18">
        <f t="shared" si="3"/>
        <v>0.62</v>
      </c>
      <c r="L12" s="19" t="s">
        <v>41</v>
      </c>
      <c r="M12" s="18">
        <f t="shared" si="4"/>
        <v>7.52</v>
      </c>
      <c r="N12" s="19" t="s">
        <v>39</v>
      </c>
      <c r="O12" s="19">
        <f t="shared" si="5"/>
        <v>0.56000000000000005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7.4945349357786872</v>
      </c>
      <c r="U12" s="21">
        <f t="shared" si="9"/>
        <v>0.80640000000000001</v>
      </c>
      <c r="V12" s="22">
        <f t="shared" si="10"/>
        <v>5.7576309677950803</v>
      </c>
      <c r="W12" s="22">
        <f t="shared" si="11"/>
        <v>1.1817532319999999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43</v>
      </c>
      <c r="B13" s="19" t="s">
        <v>51</v>
      </c>
      <c r="C13" s="27" t="s">
        <v>100</v>
      </c>
      <c r="D13" s="19" t="s">
        <v>38</v>
      </c>
      <c r="E13" s="18">
        <f t="shared" si="0"/>
        <v>0.85</v>
      </c>
      <c r="F13" s="19" t="s">
        <v>47</v>
      </c>
      <c r="G13" s="18">
        <f t="shared" si="12"/>
        <v>0.77</v>
      </c>
      <c r="H13" s="19" t="s">
        <v>42</v>
      </c>
      <c r="I13" s="18">
        <f t="shared" si="2"/>
        <v>0.85</v>
      </c>
      <c r="J13" s="19" t="s">
        <v>40</v>
      </c>
      <c r="K13" s="18">
        <f t="shared" si="3"/>
        <v>0.62</v>
      </c>
      <c r="L13" s="19" t="s">
        <v>41</v>
      </c>
      <c r="M13" s="18">
        <f t="shared" si="4"/>
        <v>7.52</v>
      </c>
      <c r="N13" s="19" t="s">
        <v>39</v>
      </c>
      <c r="O13" s="19">
        <f t="shared" si="5"/>
        <v>0.56000000000000005</v>
      </c>
      <c r="P13" s="19" t="s">
        <v>39</v>
      </c>
      <c r="Q13" s="19">
        <f t="shared" si="6"/>
        <v>0.56000000000000005</v>
      </c>
      <c r="R13" s="19" t="s">
        <v>42</v>
      </c>
      <c r="S13" s="19">
        <f t="shared" si="7"/>
        <v>0</v>
      </c>
      <c r="T13" s="20">
        <f t="shared" si="8"/>
        <v>9.2803165536186878</v>
      </c>
      <c r="U13" s="21">
        <f t="shared" si="9"/>
        <v>0.80640000000000001</v>
      </c>
      <c r="V13" s="22">
        <f t="shared" si="10"/>
        <v>5.7576309677950803</v>
      </c>
      <c r="W13" s="22">
        <f t="shared" si="11"/>
        <v>2.8352547300000004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 ht="15.75" customHeight="1">
      <c r="A14" s="17" t="s">
        <v>56</v>
      </c>
      <c r="B14" s="17" t="s">
        <v>63</v>
      </c>
      <c r="C14" s="28" t="s">
        <v>64</v>
      </c>
      <c r="D14" s="17" t="s">
        <v>38</v>
      </c>
      <c r="E14" s="29">
        <f t="shared" si="0"/>
        <v>0.85</v>
      </c>
      <c r="F14" s="17" t="s">
        <v>39</v>
      </c>
      <c r="G14" s="29">
        <f t="shared" si="12"/>
        <v>0.44</v>
      </c>
      <c r="H14" s="17" t="s">
        <v>47</v>
      </c>
      <c r="I14" s="29">
        <f t="shared" si="2"/>
        <v>0.68</v>
      </c>
      <c r="J14" s="17" t="s">
        <v>40</v>
      </c>
      <c r="K14" s="29">
        <f t="shared" si="3"/>
        <v>0.62</v>
      </c>
      <c r="L14" s="17" t="s">
        <v>41</v>
      </c>
      <c r="M14" s="29">
        <f t="shared" si="4"/>
        <v>7.52</v>
      </c>
      <c r="N14" s="17" t="s">
        <v>39</v>
      </c>
      <c r="O14" s="17">
        <f t="shared" si="5"/>
        <v>0.56000000000000005</v>
      </c>
      <c r="P14" s="17" t="s">
        <v>42</v>
      </c>
      <c r="Q14" s="17">
        <f t="shared" si="6"/>
        <v>0</v>
      </c>
      <c r="R14" s="17" t="s">
        <v>42</v>
      </c>
      <c r="S14" s="17">
        <f t="shared" si="7"/>
        <v>0</v>
      </c>
      <c r="T14" s="20">
        <f t="shared" si="8"/>
        <v>5.7120355715551225</v>
      </c>
      <c r="U14" s="21">
        <f t="shared" si="9"/>
        <v>0.56000000000000005</v>
      </c>
      <c r="V14" s="22">
        <f t="shared" si="10"/>
        <v>3.9928053775140029</v>
      </c>
      <c r="W14" s="22">
        <f t="shared" si="11"/>
        <v>1.2961164479999998</v>
      </c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30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>
        <f>SUM(T5:T14)</f>
        <v>71.371751721566312</v>
      </c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14 P5:P14 R5:R14" xr:uid="{00000000-0002-0000-1E00-000000000000}">
      <formula1>"High,Low,None"</formula1>
    </dataValidation>
    <dataValidation type="list" allowBlank="1" showErrorMessage="1" sqref="B5:B14" xr:uid="{00000000-0002-0000-1E00-000001000000}">
      <formula1>"Spoofing ,Tampering,Repudiation,Information Disclosure,Denial of Service,Elevation of Privilage"</formula1>
    </dataValidation>
    <dataValidation type="list" allowBlank="1" showErrorMessage="1" sqref="L5:L14" xr:uid="{00000000-0002-0000-1E00-000002000000}">
      <formula1>"Unchanged,Changed"</formula1>
    </dataValidation>
    <dataValidation type="list" allowBlank="1" showErrorMessage="1" sqref="F5:F14" xr:uid="{00000000-0002-0000-1E00-000003000000}">
      <formula1>"Low,High"</formula1>
    </dataValidation>
    <dataValidation type="list" allowBlank="1" showErrorMessage="1" sqref="D5:D14" xr:uid="{00000000-0002-0000-1E00-000004000000}">
      <formula1>"Network,Adjacent Network,Local,Physical"</formula1>
    </dataValidation>
    <dataValidation type="list" allowBlank="1" showErrorMessage="1" sqref="A5:A6 A9 A11:A13" xr:uid="{00000000-0002-0000-1E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4" xr:uid="{00000000-0002-0000-1E00-000006000000}">
      <formula1>"None,Required"</formula1>
    </dataValidation>
    <dataValidation type="list" allowBlank="1" showErrorMessage="1" sqref="H5:H14" xr:uid="{00000000-0002-0000-1E00-000007000000}">
      <formula1>"None,Low,High"</formula1>
    </dataValidation>
    <dataValidation type="list" allowBlank="1" showErrorMessage="1" sqref="A7:A8 A10 A14" xr:uid="{00000000-0002-0000-1E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9.832031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85</v>
      </c>
      <c r="B5" s="19" t="s">
        <v>44</v>
      </c>
      <c r="C5" s="28" t="s">
        <v>88</v>
      </c>
      <c r="D5" s="19" t="s">
        <v>38</v>
      </c>
      <c r="E5" s="18">
        <f t="shared" ref="E5:E13" si="0">IF(D5="Network",0.85,IF(D5="Adjacent Network",0.62,IF(D5="Local",0.55,IF(D5="Physical",0.2,0))))</f>
        <v>0.85</v>
      </c>
      <c r="F5" s="19" t="s">
        <v>47</v>
      </c>
      <c r="G5" s="18">
        <f t="shared" ref="G5:G6" si="1">IF(F5="Low",0.77,IF(F5="High",0.44,0))</f>
        <v>0.77</v>
      </c>
      <c r="H5" s="19" t="s">
        <v>42</v>
      </c>
      <c r="I5" s="18">
        <f t="shared" ref="I5:I13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13" si="3">IF(J5="Required",0.62,IF(J5="None",0.85,0))</f>
        <v>0.85</v>
      </c>
      <c r="L5" s="19" t="s">
        <v>59</v>
      </c>
      <c r="M5" s="18">
        <f t="shared" ref="M5:M13" si="4">IF(L5="Changed",7.52,IF(L5="Unchanged",6.42,0))</f>
        <v>6.42</v>
      </c>
      <c r="N5" s="19" t="s">
        <v>39</v>
      </c>
      <c r="O5" s="19">
        <f t="shared" ref="O5:O13" si="5">IF(N5="High",0.56,IF(N5="Low",0.22,IF(N5="None",0,0)))</f>
        <v>0.56000000000000005</v>
      </c>
      <c r="P5" s="19" t="s">
        <v>39</v>
      </c>
      <c r="Q5" s="19">
        <f t="shared" ref="Q5:Q13" si="6">IF(P5="High",0.56,IF(P5="Low",0.22,IF(P5="None",0,0)))</f>
        <v>0.56000000000000005</v>
      </c>
      <c r="R5" s="19" t="s">
        <v>39</v>
      </c>
      <c r="S5" s="19">
        <f t="shared" ref="S5:S13" si="7">IF(R5="High",0.56,IF(R5="Low",0.22,IF(R5="None",0,0)))</f>
        <v>0.56000000000000005</v>
      </c>
      <c r="T5" s="20">
        <f t="shared" ref="T5:T13" si="8">IF(V5&lt;=0,0,IF(L5="Unchanged",MIN(W5+V5,10),MIN((W5+V5)*1.08,10)))</f>
        <v>9.760161495000002</v>
      </c>
      <c r="U5" s="21">
        <f t="shared" ref="U5:U13" si="9">(1-((1-O5)*(1-Q5)*(1-S5)))</f>
        <v>0.91481600000000007</v>
      </c>
      <c r="V5" s="22">
        <f t="shared" ref="V5:V13" si="10">IF(L5="Unchanged",M5*U5,M5*(U5-0.029)-3.25*POWER(U5-0.02,15))</f>
        <v>5.8731187200000008</v>
      </c>
      <c r="W5" s="22">
        <f t="shared" ref="W5:W13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90</v>
      </c>
      <c r="B6" s="19" t="s">
        <v>44</v>
      </c>
      <c r="C6" s="27" t="s">
        <v>91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42</v>
      </c>
      <c r="I6" s="18">
        <f t="shared" si="2"/>
        <v>0.85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47</v>
      </c>
      <c r="O6" s="19">
        <f t="shared" si="5"/>
        <v>0.22</v>
      </c>
      <c r="P6" s="19" t="s">
        <v>39</v>
      </c>
      <c r="Q6" s="19">
        <f t="shared" si="6"/>
        <v>0.56000000000000005</v>
      </c>
      <c r="R6" s="19" t="s">
        <v>39</v>
      </c>
      <c r="S6" s="19">
        <f t="shared" si="7"/>
        <v>0.56000000000000005</v>
      </c>
      <c r="T6" s="20">
        <f t="shared" si="8"/>
        <v>9.3375714150000011</v>
      </c>
      <c r="U6" s="21">
        <f t="shared" si="9"/>
        <v>0.84899200000000008</v>
      </c>
      <c r="V6" s="22">
        <f t="shared" si="10"/>
        <v>5.4505286400000008</v>
      </c>
      <c r="W6" s="22">
        <f t="shared" si="11"/>
        <v>3.8870427750000003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>
      <c r="A7" s="17" t="s">
        <v>48</v>
      </c>
      <c r="B7" s="17" t="s">
        <v>44</v>
      </c>
      <c r="C7" s="28" t="s">
        <v>82</v>
      </c>
      <c r="D7" s="19" t="s">
        <v>38</v>
      </c>
      <c r="E7" s="18">
        <f t="shared" si="0"/>
        <v>0.85</v>
      </c>
      <c r="F7" s="19" t="s">
        <v>47</v>
      </c>
      <c r="G7" s="18">
        <f>IF(F7="High",0.44,IF(F7="Low",0.77,0))</f>
        <v>0.77</v>
      </c>
      <c r="H7" s="19" t="s">
        <v>42</v>
      </c>
      <c r="I7" s="18">
        <f t="shared" si="2"/>
        <v>0.85</v>
      </c>
      <c r="J7" s="19" t="s">
        <v>42</v>
      </c>
      <c r="K7" s="18">
        <f t="shared" si="3"/>
        <v>0.85</v>
      </c>
      <c r="L7" s="19" t="s">
        <v>59</v>
      </c>
      <c r="M7" s="18">
        <f t="shared" si="4"/>
        <v>6.42</v>
      </c>
      <c r="N7" s="19" t="s">
        <v>39</v>
      </c>
      <c r="O7" s="19">
        <f t="shared" si="5"/>
        <v>0.56000000000000005</v>
      </c>
      <c r="P7" s="19" t="s">
        <v>39</v>
      </c>
      <c r="Q7" s="19">
        <f t="shared" si="6"/>
        <v>0.56000000000000005</v>
      </c>
      <c r="R7" s="19" t="s">
        <v>39</v>
      </c>
      <c r="S7" s="19">
        <f t="shared" si="7"/>
        <v>0.56000000000000005</v>
      </c>
      <c r="T7" s="20">
        <f t="shared" si="8"/>
        <v>9.760161495000002</v>
      </c>
      <c r="U7" s="21">
        <f t="shared" si="9"/>
        <v>0.91481600000000007</v>
      </c>
      <c r="V7" s="22">
        <f t="shared" si="10"/>
        <v>5.8731187200000008</v>
      </c>
      <c r="W7" s="22">
        <f t="shared" si="11"/>
        <v>3.8870427750000003</v>
      </c>
      <c r="X7" s="18"/>
      <c r="Y7" s="18"/>
      <c r="Z7" s="18"/>
      <c r="AA7" s="18"/>
      <c r="AB7" s="18"/>
      <c r="AC7" s="18"/>
      <c r="AD7" s="18"/>
      <c r="AE7" s="18"/>
      <c r="AF7" s="18"/>
      <c r="AG7" s="23"/>
      <c r="AH7" s="23"/>
    </row>
    <row r="8" spans="1:34">
      <c r="A8" s="17" t="s">
        <v>48</v>
      </c>
      <c r="B8" s="19" t="s">
        <v>44</v>
      </c>
      <c r="C8" s="27" t="s">
        <v>76</v>
      </c>
      <c r="D8" s="19" t="s">
        <v>38</v>
      </c>
      <c r="E8" s="18">
        <f t="shared" si="0"/>
        <v>0.85</v>
      </c>
      <c r="F8" s="19" t="s">
        <v>47</v>
      </c>
      <c r="G8" s="18">
        <f t="shared" ref="G8:G13" si="12">IF(F8="Low",0.77,IF(F8="High",0.44,0))</f>
        <v>0.77</v>
      </c>
      <c r="H8" s="19" t="s">
        <v>42</v>
      </c>
      <c r="I8" s="18">
        <f t="shared" si="2"/>
        <v>0.85</v>
      </c>
      <c r="J8" s="19" t="s">
        <v>40</v>
      </c>
      <c r="K8" s="18">
        <f t="shared" si="3"/>
        <v>0.62</v>
      </c>
      <c r="L8" s="19" t="s">
        <v>59</v>
      </c>
      <c r="M8" s="18">
        <f t="shared" si="4"/>
        <v>6.42</v>
      </c>
      <c r="N8" s="19" t="s">
        <v>47</v>
      </c>
      <c r="O8" s="19">
        <f t="shared" si="5"/>
        <v>0.22</v>
      </c>
      <c r="P8" s="19" t="s">
        <v>47</v>
      </c>
      <c r="Q8" s="19">
        <f t="shared" si="6"/>
        <v>0.22</v>
      </c>
      <c r="R8" s="19" t="s">
        <v>39</v>
      </c>
      <c r="S8" s="19">
        <f t="shared" si="7"/>
        <v>0.56000000000000005</v>
      </c>
      <c r="T8" s="20">
        <f t="shared" si="8"/>
        <v>7.5366464100000012</v>
      </c>
      <c r="U8" s="21">
        <f t="shared" si="9"/>
        <v>0.73230400000000007</v>
      </c>
      <c r="V8" s="22">
        <f t="shared" si="10"/>
        <v>4.7013916800000004</v>
      </c>
      <c r="W8" s="22">
        <f t="shared" si="11"/>
        <v>2.8352547300000004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43</v>
      </c>
      <c r="B9" s="19" t="s">
        <v>36</v>
      </c>
      <c r="C9" s="27" t="s">
        <v>107</v>
      </c>
      <c r="D9" s="19" t="s">
        <v>38</v>
      </c>
      <c r="E9" s="18">
        <f t="shared" si="0"/>
        <v>0.85</v>
      </c>
      <c r="F9" s="19" t="s">
        <v>47</v>
      </c>
      <c r="G9" s="18">
        <f t="shared" si="12"/>
        <v>0.77</v>
      </c>
      <c r="H9" s="19" t="s">
        <v>42</v>
      </c>
      <c r="I9" s="18">
        <f t="shared" si="2"/>
        <v>0.85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42</v>
      </c>
      <c r="S9" s="19">
        <f t="shared" si="7"/>
        <v>0</v>
      </c>
      <c r="T9" s="20">
        <f t="shared" si="8"/>
        <v>9.0641307750000006</v>
      </c>
      <c r="U9" s="21">
        <f t="shared" si="9"/>
        <v>0.80640000000000001</v>
      </c>
      <c r="V9" s="22">
        <f t="shared" si="10"/>
        <v>5.1770880000000004</v>
      </c>
      <c r="W9" s="22">
        <f t="shared" si="11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 t="s">
        <v>93</v>
      </c>
      <c r="B10" s="19" t="s">
        <v>51</v>
      </c>
      <c r="C10" s="27" t="s">
        <v>94</v>
      </c>
      <c r="D10" s="19" t="s">
        <v>38</v>
      </c>
      <c r="E10" s="18">
        <f t="shared" si="0"/>
        <v>0.85</v>
      </c>
      <c r="F10" s="19" t="s">
        <v>47</v>
      </c>
      <c r="G10" s="18">
        <f t="shared" si="12"/>
        <v>0.77</v>
      </c>
      <c r="H10" s="19" t="s">
        <v>42</v>
      </c>
      <c r="I10" s="18">
        <f t="shared" si="2"/>
        <v>0.85</v>
      </c>
      <c r="J10" s="19" t="s">
        <v>42</v>
      </c>
      <c r="K10" s="18">
        <f t="shared" si="3"/>
        <v>0.85</v>
      </c>
      <c r="L10" s="19" t="s">
        <v>59</v>
      </c>
      <c r="M10" s="18">
        <f t="shared" si="4"/>
        <v>6.42</v>
      </c>
      <c r="N10" s="19" t="s">
        <v>39</v>
      </c>
      <c r="O10" s="19">
        <f t="shared" si="5"/>
        <v>0.56000000000000005</v>
      </c>
      <c r="P10" s="19" t="s">
        <v>42</v>
      </c>
      <c r="Q10" s="19">
        <f t="shared" si="6"/>
        <v>0</v>
      </c>
      <c r="R10" s="19" t="s">
        <v>42</v>
      </c>
      <c r="S10" s="19">
        <f t="shared" si="7"/>
        <v>0</v>
      </c>
      <c r="T10" s="20">
        <f t="shared" si="8"/>
        <v>7.4822427750000005</v>
      </c>
      <c r="U10" s="21">
        <f t="shared" si="9"/>
        <v>0.56000000000000005</v>
      </c>
      <c r="V10" s="22">
        <f t="shared" si="10"/>
        <v>3.5952000000000002</v>
      </c>
      <c r="W10" s="22">
        <f t="shared" si="11"/>
        <v>3.8870427750000003</v>
      </c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 t="s">
        <v>85</v>
      </c>
      <c r="B11" s="19" t="s">
        <v>51</v>
      </c>
      <c r="C11" s="28" t="s">
        <v>147</v>
      </c>
      <c r="D11" s="19" t="s">
        <v>38</v>
      </c>
      <c r="E11" s="18">
        <f t="shared" si="0"/>
        <v>0.85</v>
      </c>
      <c r="F11" s="19" t="s">
        <v>47</v>
      </c>
      <c r="G11" s="18">
        <f t="shared" si="12"/>
        <v>0.77</v>
      </c>
      <c r="H11" s="19" t="s">
        <v>39</v>
      </c>
      <c r="I11" s="18">
        <f t="shared" si="2"/>
        <v>0.27</v>
      </c>
      <c r="J11" s="19" t="s">
        <v>42</v>
      </c>
      <c r="K11" s="18">
        <f t="shared" si="3"/>
        <v>0.85</v>
      </c>
      <c r="L11" s="19" t="s">
        <v>59</v>
      </c>
      <c r="M11" s="18">
        <f t="shared" si="4"/>
        <v>6.42</v>
      </c>
      <c r="N11" s="19" t="s">
        <v>39</v>
      </c>
      <c r="O11" s="19">
        <f t="shared" si="5"/>
        <v>0.56000000000000005</v>
      </c>
      <c r="P11" s="19" t="s">
        <v>42</v>
      </c>
      <c r="Q11" s="19">
        <f t="shared" si="6"/>
        <v>0</v>
      </c>
      <c r="R11" s="19" t="s">
        <v>42</v>
      </c>
      <c r="S11" s="19">
        <f t="shared" si="7"/>
        <v>0</v>
      </c>
      <c r="T11" s="20">
        <f t="shared" si="8"/>
        <v>4.8299077050000001</v>
      </c>
      <c r="U11" s="21">
        <f t="shared" si="9"/>
        <v>0.56000000000000005</v>
      </c>
      <c r="V11" s="22">
        <f t="shared" si="10"/>
        <v>3.5952000000000002</v>
      </c>
      <c r="W11" s="22">
        <f t="shared" si="11"/>
        <v>1.2347077050000002</v>
      </c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 t="s">
        <v>53</v>
      </c>
      <c r="B12" s="19" t="s">
        <v>63</v>
      </c>
      <c r="C12" s="27" t="s">
        <v>101</v>
      </c>
      <c r="D12" s="19" t="s">
        <v>38</v>
      </c>
      <c r="E12" s="18">
        <f t="shared" si="0"/>
        <v>0.85</v>
      </c>
      <c r="F12" s="19" t="s">
        <v>47</v>
      </c>
      <c r="G12" s="18">
        <f t="shared" si="12"/>
        <v>0.77</v>
      </c>
      <c r="H12" s="19" t="s">
        <v>47</v>
      </c>
      <c r="I12" s="18">
        <f t="shared" si="2"/>
        <v>0.62</v>
      </c>
      <c r="J12" s="19" t="s">
        <v>42</v>
      </c>
      <c r="K12" s="18">
        <f t="shared" si="3"/>
        <v>0.85</v>
      </c>
      <c r="L12" s="19" t="s">
        <v>59</v>
      </c>
      <c r="M12" s="18">
        <f t="shared" si="4"/>
        <v>6.42</v>
      </c>
      <c r="N12" s="19" t="s">
        <v>47</v>
      </c>
      <c r="O12" s="19">
        <f t="shared" si="5"/>
        <v>0.22</v>
      </c>
      <c r="P12" s="19" t="s">
        <v>39</v>
      </c>
      <c r="Q12" s="19">
        <f t="shared" si="6"/>
        <v>0.56000000000000005</v>
      </c>
      <c r="R12" s="19" t="s">
        <v>42</v>
      </c>
      <c r="S12" s="19">
        <f t="shared" si="7"/>
        <v>0</v>
      </c>
      <c r="T12" s="20">
        <f t="shared" si="8"/>
        <v>7.0519107300000003</v>
      </c>
      <c r="U12" s="21">
        <f t="shared" si="9"/>
        <v>0.65680000000000005</v>
      </c>
      <c r="V12" s="22">
        <f t="shared" si="10"/>
        <v>4.2166560000000004</v>
      </c>
      <c r="W12" s="22">
        <f t="shared" si="11"/>
        <v>2.8352547299999999</v>
      </c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 t="s">
        <v>50</v>
      </c>
      <c r="B13" s="19" t="s">
        <v>36</v>
      </c>
      <c r="C13" s="27" t="s">
        <v>96</v>
      </c>
      <c r="D13" s="19" t="s">
        <v>38</v>
      </c>
      <c r="E13" s="18">
        <f t="shared" si="0"/>
        <v>0.85</v>
      </c>
      <c r="F13" s="19" t="s">
        <v>47</v>
      </c>
      <c r="G13" s="18">
        <f t="shared" si="12"/>
        <v>0.77</v>
      </c>
      <c r="H13" s="19" t="s">
        <v>42</v>
      </c>
      <c r="I13" s="18">
        <f t="shared" si="2"/>
        <v>0.85</v>
      </c>
      <c r="J13" s="19" t="s">
        <v>42</v>
      </c>
      <c r="K13" s="18">
        <f t="shared" si="3"/>
        <v>0.85</v>
      </c>
      <c r="L13" s="19" t="s">
        <v>59</v>
      </c>
      <c r="M13" s="18">
        <f t="shared" si="4"/>
        <v>6.42</v>
      </c>
      <c r="N13" s="19" t="s">
        <v>39</v>
      </c>
      <c r="O13" s="19">
        <f t="shared" si="5"/>
        <v>0.56000000000000005</v>
      </c>
      <c r="P13" s="19" t="s">
        <v>39</v>
      </c>
      <c r="Q13" s="19">
        <f t="shared" si="6"/>
        <v>0.56000000000000005</v>
      </c>
      <c r="R13" s="19" t="s">
        <v>42</v>
      </c>
      <c r="S13" s="19">
        <f t="shared" si="7"/>
        <v>0</v>
      </c>
      <c r="T13" s="20">
        <f t="shared" si="8"/>
        <v>9.0641307750000006</v>
      </c>
      <c r="U13" s="21">
        <f t="shared" si="9"/>
        <v>0.80640000000000001</v>
      </c>
      <c r="V13" s="22">
        <f t="shared" si="10"/>
        <v>5.1770880000000004</v>
      </c>
      <c r="W13" s="22">
        <f t="shared" si="11"/>
        <v>3.8870427750000003</v>
      </c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>
        <f>SUM(T5:T13)</f>
        <v>73.886863575000007</v>
      </c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8">
    <dataValidation type="list" allowBlank="1" showErrorMessage="1" sqref="N5:N13 P5:P13 R5:R13" xr:uid="{00000000-0002-0000-1F00-000000000000}">
      <formula1>"High,Low,None"</formula1>
    </dataValidation>
    <dataValidation type="list" allowBlank="1" showErrorMessage="1" sqref="B5:B13" xr:uid="{00000000-0002-0000-1F00-000001000000}">
      <formula1>"Spoofing ,Tampering,Repudiation,Information Disclosure,Denial of Service,Elevation of Privilage"</formula1>
    </dataValidation>
    <dataValidation type="list" allowBlank="1" showErrorMessage="1" sqref="L5:L13" xr:uid="{00000000-0002-0000-1F00-000002000000}">
      <formula1>"Unchanged,Changed"</formula1>
    </dataValidation>
    <dataValidation type="list" allowBlank="1" showErrorMessage="1" sqref="F5:F13" xr:uid="{00000000-0002-0000-1F00-000003000000}">
      <formula1>"Low,High"</formula1>
    </dataValidation>
    <dataValidation type="list" allowBlank="1" showErrorMessage="1" sqref="D5:D13" xr:uid="{00000000-0002-0000-1F00-000004000000}">
      <formula1>"Network,Adjacent Network,Local,Physical"</formula1>
    </dataValidation>
    <dataValidation type="list" allowBlank="1" showErrorMessage="1" sqref="A5:A13" xr:uid="{00000000-0002-0000-1F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13" xr:uid="{00000000-0002-0000-1F00-000006000000}">
      <formula1>"None,Required"</formula1>
    </dataValidation>
    <dataValidation type="list" allowBlank="1" showErrorMessage="1" sqref="H5:H13" xr:uid="{00000000-0002-0000-1F00-000007000000}">
      <formula1>"None,Low,High"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H76"/>
  <sheetViews>
    <sheetView workbookViewId="0"/>
  </sheetViews>
  <sheetFormatPr baseColWidth="10" defaultColWidth="12.6640625" defaultRowHeight="15.75" customHeight="1"/>
  <cols>
    <col min="1" max="1" width="25.83203125" customWidth="1"/>
    <col min="2" max="2" width="33.83203125" customWidth="1"/>
    <col min="3" max="3" width="33.6640625" customWidth="1"/>
    <col min="4" max="4" width="22.1640625" customWidth="1"/>
    <col min="5" max="5" width="5" hidden="1" customWidth="1"/>
    <col min="6" max="6" width="31.5" customWidth="1"/>
    <col min="7" max="7" width="6.33203125" hidden="1" customWidth="1"/>
    <col min="8" max="8" width="28.33203125" customWidth="1"/>
    <col min="9" max="9" width="7.5" hidden="1" customWidth="1"/>
    <col min="10" max="10" width="12.6640625" customWidth="1"/>
    <col min="11" max="11" width="6.6640625" hidden="1" customWidth="1"/>
    <col min="12" max="12" width="12.6640625" customWidth="1"/>
    <col min="13" max="13" width="5.83203125" hidden="1" customWidth="1"/>
    <col min="14" max="14" width="17.33203125" customWidth="1"/>
    <col min="15" max="15" width="6.1640625" hidden="1" customWidth="1"/>
    <col min="17" max="17" width="7.83203125" hidden="1" customWidth="1"/>
    <col min="19" max="19" width="8.1640625" hidden="1" customWidth="1"/>
    <col min="21" max="21" width="12.6640625" hidden="1"/>
  </cols>
  <sheetData>
    <row r="1" spans="1:34">
      <c r="A1" s="1" t="s">
        <v>0</v>
      </c>
      <c r="B1" s="73" t="s">
        <v>1</v>
      </c>
      <c r="C1" s="74"/>
      <c r="D1" s="75" t="s">
        <v>2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2"/>
      <c r="Y1" s="2"/>
      <c r="Z1" s="2"/>
      <c r="AA1" s="2"/>
      <c r="AB1" s="2"/>
      <c r="AC1" s="2"/>
      <c r="AD1" s="2"/>
      <c r="AE1" s="2"/>
      <c r="AF1" s="3"/>
    </row>
    <row r="2" spans="1:34">
      <c r="A2" s="4" t="s">
        <v>3</v>
      </c>
      <c r="B2" s="78" t="s">
        <v>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"/>
      <c r="Y2" s="2"/>
      <c r="Z2" s="2"/>
      <c r="AA2" s="2"/>
      <c r="AB2" s="2"/>
      <c r="AC2" s="2"/>
      <c r="AD2" s="2"/>
      <c r="AE2" s="2"/>
      <c r="AF2" s="3"/>
    </row>
    <row r="3" spans="1:34">
      <c r="A3" s="5" t="s">
        <v>5</v>
      </c>
      <c r="B3" s="6" t="s">
        <v>6</v>
      </c>
      <c r="C3" s="6" t="s">
        <v>7</v>
      </c>
      <c r="D3" s="79" t="s">
        <v>8</v>
      </c>
      <c r="E3" s="77"/>
      <c r="F3" s="77"/>
      <c r="G3" s="77"/>
      <c r="H3" s="77"/>
      <c r="I3" s="77"/>
      <c r="J3" s="77"/>
      <c r="K3" s="77"/>
      <c r="L3" s="77"/>
      <c r="M3" s="77"/>
      <c r="N3" s="80" t="s">
        <v>9</v>
      </c>
      <c r="O3" s="76"/>
      <c r="P3" s="76"/>
      <c r="Q3" s="76"/>
      <c r="R3" s="76"/>
      <c r="S3" s="76"/>
      <c r="T3" s="81" t="s">
        <v>10</v>
      </c>
      <c r="U3" s="76"/>
      <c r="V3" s="76"/>
      <c r="W3" s="76"/>
      <c r="X3" s="2"/>
      <c r="Y3" s="2"/>
      <c r="Z3" s="2"/>
      <c r="AA3" s="2"/>
      <c r="AB3" s="2"/>
      <c r="AC3" s="2"/>
      <c r="AD3" s="2"/>
      <c r="AE3" s="2"/>
      <c r="AF3" s="3"/>
    </row>
    <row r="4" spans="1:34">
      <c r="A4" s="9" t="s">
        <v>11</v>
      </c>
      <c r="B4" s="10" t="s">
        <v>12</v>
      </c>
      <c r="C4" s="10" t="s">
        <v>13</v>
      </c>
      <c r="D4" s="11" t="s">
        <v>14</v>
      </c>
      <c r="E4" s="11" t="s">
        <v>15</v>
      </c>
      <c r="F4" s="12" t="s">
        <v>16</v>
      </c>
      <c r="G4" s="11" t="s">
        <v>17</v>
      </c>
      <c r="H4" s="12" t="s">
        <v>18</v>
      </c>
      <c r="I4" s="11" t="s">
        <v>19</v>
      </c>
      <c r="J4" s="12" t="s">
        <v>20</v>
      </c>
      <c r="K4" s="11" t="s">
        <v>21</v>
      </c>
      <c r="L4" s="12" t="s">
        <v>22</v>
      </c>
      <c r="M4" s="13" t="s">
        <v>23</v>
      </c>
      <c r="N4" s="14" t="s">
        <v>24</v>
      </c>
      <c r="O4" s="14" t="s">
        <v>25</v>
      </c>
      <c r="P4" s="14" t="s">
        <v>26</v>
      </c>
      <c r="Q4" s="14" t="s">
        <v>27</v>
      </c>
      <c r="R4" s="14" t="s">
        <v>28</v>
      </c>
      <c r="S4" s="14" t="s">
        <v>29</v>
      </c>
      <c r="T4" s="15" t="s">
        <v>30</v>
      </c>
      <c r="U4" s="15" t="s">
        <v>31</v>
      </c>
      <c r="V4" s="16" t="s">
        <v>32</v>
      </c>
      <c r="W4" s="16" t="s">
        <v>33</v>
      </c>
      <c r="X4" s="2"/>
      <c r="Y4" s="2"/>
      <c r="Z4" s="2"/>
      <c r="AA4" s="2"/>
      <c r="AB4" s="2"/>
      <c r="AC4" s="2"/>
      <c r="AD4" s="2"/>
      <c r="AE4" s="2"/>
      <c r="AF4" s="3"/>
    </row>
    <row r="5" spans="1:34">
      <c r="A5" s="17" t="s">
        <v>93</v>
      </c>
      <c r="B5" s="19" t="s">
        <v>51</v>
      </c>
      <c r="C5" s="27" t="s">
        <v>94</v>
      </c>
      <c r="D5" s="19" t="s">
        <v>38</v>
      </c>
      <c r="E5" s="18">
        <f t="shared" ref="E5:E9" si="0">IF(D5="Network",0.85,IF(D5="Adjacent Network",0.62,IF(D5="Local",0.55,IF(D5="Physical",0.2,0))))</f>
        <v>0.85</v>
      </c>
      <c r="F5" s="19" t="s">
        <v>47</v>
      </c>
      <c r="G5" s="18">
        <f t="shared" ref="G5:G9" si="1">IF(F5="Low",0.77,IF(F5="High",0.44,0))</f>
        <v>0.77</v>
      </c>
      <c r="H5" s="19" t="s">
        <v>42</v>
      </c>
      <c r="I5" s="18">
        <f t="shared" ref="I5:I9" si="2">IF(H5="None",0.85,IF(AND(H5="Low",L5="Unchanged"),0.62,IF(AND(H5="Low",L5="Changed"),0.68,IF(AND(H5="High",L5="Changed"),0.5,IF(AND(H5="High",L5="Unchanged"),0.27,0)))))</f>
        <v>0.85</v>
      </c>
      <c r="J5" s="19" t="s">
        <v>42</v>
      </c>
      <c r="K5" s="18">
        <f t="shared" ref="K5:K9" si="3">IF(J5="Required",0.62,IF(J5="None",0.85,0))</f>
        <v>0.85</v>
      </c>
      <c r="L5" s="19" t="s">
        <v>59</v>
      </c>
      <c r="M5" s="18">
        <f t="shared" ref="M5:M9" si="4">IF(L5="Changed",7.52,IF(L5="Unchanged",6.42,0))</f>
        <v>6.42</v>
      </c>
      <c r="N5" s="19" t="s">
        <v>39</v>
      </c>
      <c r="O5" s="19">
        <f t="shared" ref="O5:O9" si="5">IF(N5="High",0.56,IF(N5="Low",0.22,IF(N5="None",0,0)))</f>
        <v>0.56000000000000005</v>
      </c>
      <c r="P5" s="19" t="s">
        <v>42</v>
      </c>
      <c r="Q5" s="19">
        <f t="shared" ref="Q5:Q9" si="6">IF(P5="High",0.56,IF(P5="Low",0.22,IF(P5="None",0,0)))</f>
        <v>0</v>
      </c>
      <c r="R5" s="19" t="s">
        <v>42</v>
      </c>
      <c r="S5" s="19">
        <f t="shared" ref="S5:S9" si="7">IF(R5="High",0.56,IF(R5="Low",0.22,IF(R5="None",0,0)))</f>
        <v>0</v>
      </c>
      <c r="T5" s="20">
        <f t="shared" ref="T5:T9" si="8">IF(V5&lt;=0,0,IF(L5="Unchanged",MIN(W5+V5,10),MIN((W5+V5)*1.08,10)))</f>
        <v>7.4822427750000005</v>
      </c>
      <c r="U5" s="21">
        <f t="shared" ref="U5:U9" si="9">(1-((1-O5)*(1-Q5)*(1-S5)))</f>
        <v>0.56000000000000005</v>
      </c>
      <c r="V5" s="22">
        <f t="shared" ref="V5:V9" si="10">IF(L5="Unchanged",M5*U5,M5*(U5-0.029)-3.25*POWER(U5-0.02,15))</f>
        <v>3.5952000000000002</v>
      </c>
      <c r="W5" s="22">
        <f t="shared" ref="W5:W9" si="11">8.22*E5*G5*I5*K5</f>
        <v>3.8870427750000003</v>
      </c>
      <c r="X5" s="18"/>
      <c r="Y5" s="18"/>
      <c r="Z5" s="18"/>
      <c r="AA5" s="18"/>
      <c r="AB5" s="18"/>
      <c r="AC5" s="18"/>
      <c r="AD5" s="18"/>
      <c r="AE5" s="18"/>
      <c r="AF5" s="18"/>
      <c r="AG5" s="23"/>
      <c r="AH5" s="23"/>
    </row>
    <row r="6" spans="1:34">
      <c r="A6" s="17" t="s">
        <v>35</v>
      </c>
      <c r="B6" s="19" t="s">
        <v>36</v>
      </c>
      <c r="C6" s="27" t="s">
        <v>108</v>
      </c>
      <c r="D6" s="19" t="s">
        <v>38</v>
      </c>
      <c r="E6" s="18">
        <f t="shared" si="0"/>
        <v>0.85</v>
      </c>
      <c r="F6" s="19" t="s">
        <v>47</v>
      </c>
      <c r="G6" s="18">
        <f t="shared" si="1"/>
        <v>0.77</v>
      </c>
      <c r="H6" s="19" t="s">
        <v>39</v>
      </c>
      <c r="I6" s="18">
        <f t="shared" si="2"/>
        <v>0.27</v>
      </c>
      <c r="J6" s="19" t="s">
        <v>42</v>
      </c>
      <c r="K6" s="18">
        <f t="shared" si="3"/>
        <v>0.85</v>
      </c>
      <c r="L6" s="19" t="s">
        <v>59</v>
      </c>
      <c r="M6" s="18">
        <f t="shared" si="4"/>
        <v>6.42</v>
      </c>
      <c r="N6" s="19" t="s">
        <v>39</v>
      </c>
      <c r="O6" s="19">
        <f t="shared" si="5"/>
        <v>0.56000000000000005</v>
      </c>
      <c r="P6" s="19" t="s">
        <v>39</v>
      </c>
      <c r="Q6" s="19">
        <f t="shared" si="6"/>
        <v>0.56000000000000005</v>
      </c>
      <c r="R6" s="19" t="s">
        <v>42</v>
      </c>
      <c r="S6" s="19">
        <f t="shared" si="7"/>
        <v>0</v>
      </c>
      <c r="T6" s="20">
        <f t="shared" si="8"/>
        <v>6.4117957050000003</v>
      </c>
      <c r="U6" s="21">
        <f t="shared" si="9"/>
        <v>0.80640000000000001</v>
      </c>
      <c r="V6" s="22">
        <f t="shared" si="10"/>
        <v>5.1770880000000004</v>
      </c>
      <c r="W6" s="22">
        <f t="shared" si="11"/>
        <v>1.2347077050000002</v>
      </c>
      <c r="X6" s="18"/>
      <c r="Y6" s="18"/>
      <c r="Z6" s="18"/>
      <c r="AA6" s="18"/>
      <c r="AB6" s="18"/>
      <c r="AC6" s="18"/>
      <c r="AD6" s="18"/>
      <c r="AE6" s="18"/>
      <c r="AF6" s="18"/>
      <c r="AG6" s="23"/>
      <c r="AH6" s="23"/>
    </row>
    <row r="7" spans="1:34" ht="15.75" customHeight="1">
      <c r="A7" s="17" t="s">
        <v>56</v>
      </c>
      <c r="B7" s="17" t="s">
        <v>63</v>
      </c>
      <c r="C7" s="28" t="s">
        <v>64</v>
      </c>
      <c r="D7" s="17" t="s">
        <v>38</v>
      </c>
      <c r="E7" s="29">
        <f t="shared" si="0"/>
        <v>0.85</v>
      </c>
      <c r="F7" s="17" t="s">
        <v>39</v>
      </c>
      <c r="G7" s="29">
        <f t="shared" si="1"/>
        <v>0.44</v>
      </c>
      <c r="H7" s="17" t="s">
        <v>47</v>
      </c>
      <c r="I7" s="29">
        <f t="shared" si="2"/>
        <v>0.68</v>
      </c>
      <c r="J7" s="17" t="s">
        <v>40</v>
      </c>
      <c r="K7" s="29">
        <f t="shared" si="3"/>
        <v>0.62</v>
      </c>
      <c r="L7" s="17" t="s">
        <v>41</v>
      </c>
      <c r="M7" s="29">
        <f t="shared" si="4"/>
        <v>7.52</v>
      </c>
      <c r="N7" s="17" t="s">
        <v>39</v>
      </c>
      <c r="O7" s="17">
        <f t="shared" si="5"/>
        <v>0.56000000000000005</v>
      </c>
      <c r="P7" s="17" t="s">
        <v>42</v>
      </c>
      <c r="Q7" s="17">
        <f t="shared" si="6"/>
        <v>0</v>
      </c>
      <c r="R7" s="17" t="s">
        <v>42</v>
      </c>
      <c r="S7" s="17">
        <f t="shared" si="7"/>
        <v>0</v>
      </c>
      <c r="T7" s="20">
        <f t="shared" si="8"/>
        <v>5.7120355715551225</v>
      </c>
      <c r="U7" s="21">
        <f t="shared" si="9"/>
        <v>0.56000000000000005</v>
      </c>
      <c r="V7" s="22">
        <f t="shared" si="10"/>
        <v>3.9928053775140029</v>
      </c>
      <c r="W7" s="22">
        <f t="shared" si="11"/>
        <v>1.2961164479999998</v>
      </c>
      <c r="X7" s="29"/>
      <c r="Y7" s="29"/>
      <c r="Z7" s="29"/>
      <c r="AA7" s="29"/>
      <c r="AB7" s="29"/>
      <c r="AC7" s="29"/>
      <c r="AD7" s="29"/>
      <c r="AE7" s="29"/>
      <c r="AF7" s="29"/>
      <c r="AG7" s="30"/>
      <c r="AH7" s="30"/>
    </row>
    <row r="8" spans="1:34">
      <c r="A8" s="17" t="s">
        <v>43</v>
      </c>
      <c r="B8" s="19" t="s">
        <v>36</v>
      </c>
      <c r="C8" s="27" t="s">
        <v>99</v>
      </c>
      <c r="D8" s="19" t="s">
        <v>46</v>
      </c>
      <c r="E8" s="18">
        <f t="shared" si="0"/>
        <v>0.62</v>
      </c>
      <c r="F8" s="19" t="s">
        <v>39</v>
      </c>
      <c r="G8" s="18">
        <f t="shared" si="1"/>
        <v>0.44</v>
      </c>
      <c r="H8" s="19" t="s">
        <v>42</v>
      </c>
      <c r="I8" s="18">
        <f t="shared" si="2"/>
        <v>0.85</v>
      </c>
      <c r="J8" s="19" t="s">
        <v>40</v>
      </c>
      <c r="K8" s="18">
        <f t="shared" si="3"/>
        <v>0.62</v>
      </c>
      <c r="L8" s="19" t="s">
        <v>41</v>
      </c>
      <c r="M8" s="18">
        <f t="shared" si="4"/>
        <v>7.52</v>
      </c>
      <c r="N8" s="19" t="s">
        <v>39</v>
      </c>
      <c r="O8" s="19">
        <f t="shared" si="5"/>
        <v>0.56000000000000005</v>
      </c>
      <c r="P8" s="19" t="s">
        <v>39</v>
      </c>
      <c r="Q8" s="19">
        <f t="shared" si="6"/>
        <v>0.56000000000000005</v>
      </c>
      <c r="R8" s="19" t="s">
        <v>42</v>
      </c>
      <c r="S8" s="19">
        <f t="shared" si="7"/>
        <v>0</v>
      </c>
      <c r="T8" s="20">
        <f t="shared" si="8"/>
        <v>7.4945349357786872</v>
      </c>
      <c r="U8" s="21">
        <f t="shared" si="9"/>
        <v>0.80640000000000001</v>
      </c>
      <c r="V8" s="22">
        <f t="shared" si="10"/>
        <v>5.7576309677950803</v>
      </c>
      <c r="W8" s="22">
        <f t="shared" si="11"/>
        <v>1.1817532319999999</v>
      </c>
      <c r="X8" s="18"/>
      <c r="Y8" s="18"/>
      <c r="Z8" s="18"/>
      <c r="AA8" s="18"/>
      <c r="AB8" s="18"/>
      <c r="AC8" s="18"/>
      <c r="AD8" s="18"/>
      <c r="AE8" s="18"/>
      <c r="AF8" s="18"/>
      <c r="AG8" s="23"/>
      <c r="AH8" s="23"/>
    </row>
    <row r="9" spans="1:34">
      <c r="A9" s="17" t="s">
        <v>50</v>
      </c>
      <c r="B9" s="19" t="s">
        <v>36</v>
      </c>
      <c r="C9" s="27" t="s">
        <v>96</v>
      </c>
      <c r="D9" s="19" t="s">
        <v>38</v>
      </c>
      <c r="E9" s="18">
        <f t="shared" si="0"/>
        <v>0.85</v>
      </c>
      <c r="F9" s="19" t="s">
        <v>47</v>
      </c>
      <c r="G9" s="18">
        <f t="shared" si="1"/>
        <v>0.77</v>
      </c>
      <c r="H9" s="19" t="s">
        <v>42</v>
      </c>
      <c r="I9" s="18">
        <f t="shared" si="2"/>
        <v>0.85</v>
      </c>
      <c r="J9" s="19" t="s">
        <v>42</v>
      </c>
      <c r="K9" s="18">
        <f t="shared" si="3"/>
        <v>0.85</v>
      </c>
      <c r="L9" s="19" t="s">
        <v>59</v>
      </c>
      <c r="M9" s="18">
        <f t="shared" si="4"/>
        <v>6.42</v>
      </c>
      <c r="N9" s="19" t="s">
        <v>39</v>
      </c>
      <c r="O9" s="19">
        <f t="shared" si="5"/>
        <v>0.56000000000000005</v>
      </c>
      <c r="P9" s="19" t="s">
        <v>39</v>
      </c>
      <c r="Q9" s="19">
        <f t="shared" si="6"/>
        <v>0.56000000000000005</v>
      </c>
      <c r="R9" s="19" t="s">
        <v>42</v>
      </c>
      <c r="S9" s="19">
        <f t="shared" si="7"/>
        <v>0</v>
      </c>
      <c r="T9" s="20">
        <f t="shared" si="8"/>
        <v>9.0641307750000006</v>
      </c>
      <c r="U9" s="21">
        <f t="shared" si="9"/>
        <v>0.80640000000000001</v>
      </c>
      <c r="V9" s="22">
        <f t="shared" si="10"/>
        <v>5.1770880000000004</v>
      </c>
      <c r="W9" s="22">
        <f t="shared" si="11"/>
        <v>3.8870427750000003</v>
      </c>
      <c r="X9" s="18"/>
      <c r="Y9" s="18"/>
      <c r="Z9" s="18"/>
      <c r="AA9" s="18"/>
      <c r="AB9" s="18"/>
      <c r="AC9" s="18"/>
      <c r="AD9" s="18"/>
      <c r="AE9" s="18"/>
      <c r="AF9" s="18"/>
      <c r="AG9" s="23"/>
      <c r="AH9" s="23"/>
    </row>
    <row r="10" spans="1:34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18"/>
      <c r="Q10" s="19"/>
      <c r="R10" s="18"/>
      <c r="S10" s="19"/>
      <c r="T10" s="20">
        <f>SUM(T5:T9)</f>
        <v>36.164739762333809</v>
      </c>
      <c r="U10" s="21"/>
      <c r="V10" s="22"/>
      <c r="W10" s="22"/>
      <c r="X10" s="18"/>
      <c r="Y10" s="18"/>
      <c r="Z10" s="18"/>
      <c r="AA10" s="18"/>
      <c r="AB10" s="18"/>
      <c r="AC10" s="18"/>
      <c r="AD10" s="18"/>
      <c r="AE10" s="18"/>
      <c r="AF10" s="18"/>
      <c r="AG10" s="23"/>
      <c r="AH10" s="23"/>
    </row>
    <row r="11" spans="1:34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18"/>
      <c r="Q11" s="19"/>
      <c r="R11" s="18"/>
      <c r="S11" s="19"/>
      <c r="T11" s="20"/>
      <c r="U11" s="21"/>
      <c r="V11" s="22"/>
      <c r="W11" s="22"/>
      <c r="X11" s="18"/>
      <c r="Y11" s="18"/>
      <c r="Z11" s="18"/>
      <c r="AA11" s="18"/>
      <c r="AB11" s="18"/>
      <c r="AC11" s="18"/>
      <c r="AD11" s="18"/>
      <c r="AE11" s="18"/>
      <c r="AF11" s="18"/>
      <c r="AG11" s="23"/>
      <c r="AH11" s="23"/>
    </row>
    <row r="12" spans="1:34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8"/>
      <c r="Q12" s="19"/>
      <c r="R12" s="18"/>
      <c r="S12" s="19"/>
      <c r="T12" s="20"/>
      <c r="U12" s="21"/>
      <c r="V12" s="22"/>
      <c r="W12" s="22"/>
      <c r="X12" s="18"/>
      <c r="Y12" s="18"/>
      <c r="Z12" s="18"/>
      <c r="AA12" s="18"/>
      <c r="AB12" s="18"/>
      <c r="AC12" s="18"/>
      <c r="AD12" s="18"/>
      <c r="AE12" s="18"/>
      <c r="AF12" s="18"/>
      <c r="AG12" s="23"/>
      <c r="AH12" s="23"/>
    </row>
    <row r="13" spans="1:34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18"/>
      <c r="Q13" s="19"/>
      <c r="R13" s="18"/>
      <c r="S13" s="19"/>
      <c r="T13" s="20"/>
      <c r="U13" s="21"/>
      <c r="V13" s="22"/>
      <c r="W13" s="22"/>
      <c r="X13" s="18"/>
      <c r="Y13" s="18"/>
      <c r="Z13" s="18"/>
      <c r="AA13" s="18"/>
      <c r="AB13" s="18"/>
      <c r="AC13" s="18"/>
      <c r="AD13" s="18"/>
      <c r="AE13" s="18"/>
      <c r="AF13" s="18"/>
      <c r="AG13" s="23"/>
      <c r="AH13" s="23"/>
    </row>
    <row r="14" spans="1:34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8"/>
      <c r="Q14" s="19"/>
      <c r="R14" s="18"/>
      <c r="S14" s="19"/>
      <c r="T14" s="20"/>
      <c r="U14" s="21"/>
      <c r="V14" s="22"/>
      <c r="W14" s="22"/>
      <c r="X14" s="18"/>
      <c r="Y14" s="18"/>
      <c r="Z14" s="18"/>
      <c r="AA14" s="18"/>
      <c r="AB14" s="18"/>
      <c r="AC14" s="18"/>
      <c r="AD14" s="18"/>
      <c r="AE14" s="18"/>
      <c r="AF14" s="18"/>
      <c r="AG14" s="23"/>
      <c r="AH14" s="23"/>
    </row>
    <row r="15" spans="1:34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8"/>
      <c r="Q15" s="19"/>
      <c r="R15" s="18"/>
      <c r="S15" s="19"/>
      <c r="T15" s="20"/>
      <c r="U15" s="21"/>
      <c r="V15" s="22"/>
      <c r="W15" s="22"/>
      <c r="X15" s="18"/>
      <c r="Y15" s="18"/>
      <c r="Z15" s="18"/>
      <c r="AA15" s="18"/>
      <c r="AB15" s="18"/>
      <c r="AC15" s="18"/>
      <c r="AD15" s="18"/>
      <c r="AE15" s="18"/>
      <c r="AF15" s="18"/>
      <c r="AG15" s="23"/>
      <c r="AH15" s="23"/>
    </row>
    <row r="16" spans="1:34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8"/>
      <c r="Q16" s="19"/>
      <c r="R16" s="18"/>
      <c r="S16" s="19"/>
      <c r="T16" s="20"/>
      <c r="U16" s="21"/>
      <c r="V16" s="22"/>
      <c r="W16" s="22"/>
      <c r="X16" s="18"/>
      <c r="Y16" s="18"/>
      <c r="Z16" s="18"/>
      <c r="AA16" s="18"/>
      <c r="AB16" s="18"/>
      <c r="AC16" s="18"/>
      <c r="AD16" s="18"/>
      <c r="AE16" s="18"/>
      <c r="AF16" s="18"/>
      <c r="AG16" s="23"/>
      <c r="AH16" s="23"/>
    </row>
    <row r="17" spans="1:34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8"/>
      <c r="Q17" s="19"/>
      <c r="R17" s="18"/>
      <c r="S17" s="19"/>
      <c r="T17" s="20"/>
      <c r="U17" s="21"/>
      <c r="V17" s="22"/>
      <c r="W17" s="22"/>
      <c r="X17" s="18"/>
      <c r="Y17" s="18"/>
      <c r="Z17" s="18"/>
      <c r="AA17" s="18"/>
      <c r="AB17" s="18"/>
      <c r="AC17" s="18"/>
      <c r="AD17" s="18"/>
      <c r="AE17" s="18"/>
      <c r="AF17" s="18"/>
      <c r="AG17" s="23"/>
      <c r="AH17" s="23"/>
    </row>
    <row r="18" spans="1:34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8"/>
      <c r="Q18" s="19"/>
      <c r="R18" s="18"/>
      <c r="S18" s="19"/>
      <c r="T18" s="20"/>
      <c r="U18" s="21"/>
      <c r="V18" s="22"/>
      <c r="W18" s="22"/>
      <c r="X18" s="18"/>
      <c r="Y18" s="18"/>
      <c r="Z18" s="18"/>
      <c r="AA18" s="18"/>
      <c r="AB18" s="18"/>
      <c r="AC18" s="18"/>
      <c r="AD18" s="18"/>
      <c r="AE18" s="18"/>
      <c r="AF18" s="18"/>
      <c r="AG18" s="23"/>
      <c r="AH18" s="23"/>
    </row>
    <row r="19" spans="1:34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8"/>
      <c r="Q19" s="19"/>
      <c r="R19" s="18"/>
      <c r="S19" s="19"/>
      <c r="T19" s="20"/>
      <c r="U19" s="21"/>
      <c r="V19" s="22"/>
      <c r="W19" s="22"/>
      <c r="X19" s="18"/>
      <c r="Y19" s="18"/>
      <c r="Z19" s="18"/>
      <c r="AA19" s="18"/>
      <c r="AB19" s="18"/>
      <c r="AC19" s="18"/>
      <c r="AD19" s="18"/>
      <c r="AE19" s="18"/>
      <c r="AF19" s="18"/>
      <c r="AG19" s="23"/>
      <c r="AH19" s="23"/>
    </row>
    <row r="20" spans="1:3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8"/>
      <c r="Q20" s="19"/>
      <c r="R20" s="18"/>
      <c r="S20" s="19"/>
      <c r="T20" s="20"/>
      <c r="U20" s="21"/>
      <c r="V20" s="22"/>
      <c r="W20" s="22"/>
      <c r="X20" s="18"/>
      <c r="Y20" s="18"/>
      <c r="Z20" s="18"/>
      <c r="AA20" s="18"/>
      <c r="AB20" s="18"/>
      <c r="AC20" s="18"/>
      <c r="AD20" s="18"/>
      <c r="AE20" s="18"/>
      <c r="AF20" s="18"/>
      <c r="AG20" s="23"/>
      <c r="AH20" s="23"/>
    </row>
    <row r="21" spans="1:3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8"/>
      <c r="Q21" s="19"/>
      <c r="R21" s="18"/>
      <c r="S21" s="19"/>
      <c r="T21" s="20"/>
      <c r="U21" s="21"/>
      <c r="V21" s="22"/>
      <c r="W21" s="22"/>
      <c r="X21" s="18"/>
      <c r="Y21" s="18"/>
      <c r="Z21" s="18"/>
      <c r="AA21" s="18"/>
      <c r="AB21" s="18"/>
      <c r="AC21" s="18"/>
      <c r="AD21" s="18"/>
      <c r="AE21" s="18"/>
      <c r="AF21" s="18"/>
      <c r="AG21" s="23"/>
      <c r="AH21" s="23"/>
    </row>
    <row r="22" spans="1:34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8"/>
      <c r="Q22" s="19"/>
      <c r="R22" s="18"/>
      <c r="S22" s="19"/>
      <c r="T22" s="20"/>
      <c r="U22" s="21"/>
      <c r="V22" s="22"/>
      <c r="W22" s="22"/>
      <c r="X22" s="18"/>
      <c r="Y22" s="18"/>
      <c r="Z22" s="18"/>
      <c r="AA22" s="18"/>
      <c r="AB22" s="18"/>
      <c r="AC22" s="18"/>
      <c r="AD22" s="18"/>
      <c r="AE22" s="18"/>
      <c r="AF22" s="18"/>
      <c r="AG22" s="23"/>
      <c r="AH22" s="23"/>
    </row>
    <row r="23" spans="1:34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8"/>
      <c r="Q23" s="19"/>
      <c r="R23" s="18"/>
      <c r="S23" s="19"/>
      <c r="T23" s="20"/>
      <c r="U23" s="21"/>
      <c r="V23" s="22"/>
      <c r="W23" s="22"/>
      <c r="X23" s="18"/>
      <c r="Y23" s="18"/>
      <c r="Z23" s="18"/>
      <c r="AA23" s="18"/>
      <c r="AB23" s="18"/>
      <c r="AC23" s="18"/>
      <c r="AD23" s="18"/>
      <c r="AE23" s="18"/>
      <c r="AF23" s="18"/>
      <c r="AG23" s="23"/>
      <c r="AH23" s="23"/>
    </row>
    <row r="24" spans="1:34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8"/>
      <c r="Q24" s="19"/>
      <c r="R24" s="18"/>
      <c r="S24" s="19"/>
      <c r="T24" s="20"/>
      <c r="U24" s="21"/>
      <c r="V24" s="22"/>
      <c r="W24" s="22"/>
      <c r="X24" s="18"/>
      <c r="Y24" s="18"/>
      <c r="Z24" s="18"/>
      <c r="AA24" s="18"/>
      <c r="AB24" s="18"/>
      <c r="AC24" s="18"/>
      <c r="AD24" s="18"/>
      <c r="AE24" s="18"/>
      <c r="AF24" s="18"/>
      <c r="AG24" s="23"/>
      <c r="AH24" s="23"/>
    </row>
    <row r="25" spans="1:3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8"/>
      <c r="Q25" s="19"/>
      <c r="R25" s="18"/>
      <c r="S25" s="19"/>
      <c r="T25" s="20"/>
      <c r="U25" s="21"/>
      <c r="V25" s="22"/>
      <c r="W25" s="22"/>
      <c r="X25" s="18"/>
      <c r="Y25" s="18"/>
      <c r="Z25" s="18"/>
      <c r="AA25" s="18"/>
      <c r="AB25" s="18"/>
      <c r="AC25" s="18"/>
      <c r="AD25" s="18"/>
      <c r="AE25" s="18"/>
      <c r="AF25" s="18"/>
      <c r="AG25" s="23"/>
      <c r="AH25" s="23"/>
    </row>
    <row r="26" spans="1:34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8"/>
      <c r="Q26" s="19"/>
      <c r="R26" s="18"/>
      <c r="S26" s="19"/>
      <c r="T26" s="20"/>
      <c r="U26" s="21"/>
      <c r="V26" s="22"/>
      <c r="W26" s="22"/>
      <c r="X26" s="18"/>
      <c r="Y26" s="18"/>
      <c r="Z26" s="18"/>
      <c r="AA26" s="18"/>
      <c r="AB26" s="18"/>
      <c r="AC26" s="18"/>
      <c r="AD26" s="18"/>
      <c r="AE26" s="18"/>
      <c r="AF26" s="18"/>
      <c r="AG26" s="23"/>
      <c r="AH26" s="23"/>
    </row>
    <row r="27" spans="1:34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9"/>
      <c r="R27" s="18"/>
      <c r="S27" s="19"/>
      <c r="T27" s="20"/>
      <c r="U27" s="21"/>
      <c r="V27" s="22"/>
      <c r="W27" s="22"/>
      <c r="X27" s="18"/>
      <c r="Y27" s="18"/>
      <c r="Z27" s="18"/>
      <c r="AA27" s="18"/>
      <c r="AB27" s="18"/>
      <c r="AC27" s="18"/>
      <c r="AD27" s="18"/>
      <c r="AE27" s="18"/>
      <c r="AF27" s="18"/>
      <c r="AG27" s="23"/>
      <c r="AH27" s="23"/>
    </row>
    <row r="28" spans="1:34">
      <c r="A28" s="17"/>
      <c r="B28" s="23"/>
      <c r="C28" s="23"/>
      <c r="D28" s="23"/>
      <c r="E28" s="18"/>
      <c r="F28" s="23"/>
      <c r="G28" s="18"/>
      <c r="H28" s="23"/>
      <c r="I28" s="18"/>
      <c r="J28" s="23"/>
      <c r="K28" s="18"/>
      <c r="L28" s="23"/>
      <c r="M28" s="18"/>
      <c r="N28" s="23"/>
      <c r="O28" s="19"/>
      <c r="P28" s="18"/>
      <c r="Q28" s="19"/>
      <c r="R28" s="18"/>
      <c r="S28" s="19"/>
      <c r="T28" s="20"/>
      <c r="U28" s="21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>
      <c r="A29" s="17"/>
      <c r="B29" s="23"/>
      <c r="C29" s="23"/>
      <c r="D29" s="23"/>
      <c r="E29" s="18"/>
      <c r="F29" s="23"/>
      <c r="G29" s="18"/>
      <c r="H29" s="23"/>
      <c r="I29" s="18"/>
      <c r="J29" s="23"/>
      <c r="K29" s="18"/>
      <c r="L29" s="23"/>
      <c r="M29" s="18"/>
      <c r="N29" s="23"/>
      <c r="O29" s="19"/>
      <c r="P29" s="18"/>
      <c r="Q29" s="19"/>
      <c r="R29" s="18"/>
      <c r="S29" s="19"/>
      <c r="T29" s="20"/>
      <c r="U29" s="21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>
      <c r="A30" s="17"/>
      <c r="B30" s="23"/>
      <c r="C30" s="23"/>
      <c r="D30" s="23"/>
      <c r="E30" s="18"/>
      <c r="F30" s="23"/>
      <c r="G30" s="18"/>
      <c r="H30" s="23"/>
      <c r="I30" s="18"/>
      <c r="J30" s="23"/>
      <c r="K30" s="18"/>
      <c r="L30" s="23"/>
      <c r="M30" s="18"/>
      <c r="N30" s="23"/>
      <c r="O30" s="19"/>
      <c r="P30" s="18"/>
      <c r="Q30" s="19"/>
      <c r="R30" s="18"/>
      <c r="S30" s="19"/>
      <c r="T30" s="20"/>
      <c r="U30" s="21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>
      <c r="A31" s="23"/>
      <c r="B31" s="23"/>
      <c r="C31" s="23"/>
      <c r="D31" s="23"/>
      <c r="E31" s="18"/>
      <c r="F31" s="23"/>
      <c r="G31" s="18"/>
      <c r="H31" s="23"/>
      <c r="I31" s="18"/>
      <c r="J31" s="23"/>
      <c r="K31" s="18"/>
      <c r="L31" s="23"/>
      <c r="M31" s="18"/>
      <c r="N31" s="23"/>
      <c r="O31" s="19"/>
      <c r="P31" s="18"/>
      <c r="Q31" s="19"/>
      <c r="R31" s="18"/>
      <c r="S31" s="19"/>
      <c r="T31" s="20"/>
      <c r="U31" s="21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>
      <c r="A32" s="23"/>
      <c r="B32" s="23"/>
      <c r="C32" s="23"/>
      <c r="D32" s="23"/>
      <c r="E32" s="18"/>
      <c r="F32" s="23"/>
      <c r="G32" s="18"/>
      <c r="H32" s="23"/>
      <c r="I32" s="18"/>
      <c r="J32" s="23"/>
      <c r="K32" s="18"/>
      <c r="L32" s="23"/>
      <c r="M32" s="18"/>
      <c r="N32" s="23"/>
      <c r="O32" s="19"/>
      <c r="P32" s="18"/>
      <c r="Q32" s="19"/>
      <c r="R32" s="18"/>
      <c r="S32" s="19"/>
      <c r="T32" s="20"/>
      <c r="U32" s="21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>
      <c r="A33" s="23"/>
      <c r="B33" s="23"/>
      <c r="C33" s="23"/>
      <c r="D33" s="23"/>
      <c r="E33" s="18"/>
      <c r="F33" s="23"/>
      <c r="G33" s="18"/>
      <c r="H33" s="23"/>
      <c r="I33" s="18"/>
      <c r="J33" s="23"/>
      <c r="K33" s="18"/>
      <c r="L33" s="23"/>
      <c r="M33" s="18"/>
      <c r="N33" s="23"/>
      <c r="O33" s="19"/>
      <c r="P33" s="18"/>
      <c r="Q33" s="19"/>
      <c r="R33" s="18"/>
      <c r="S33" s="19"/>
      <c r="T33" s="20"/>
      <c r="U33" s="21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>
      <c r="A34" s="23"/>
      <c r="B34" s="23"/>
      <c r="C34" s="23"/>
      <c r="D34" s="23"/>
      <c r="E34" s="18"/>
      <c r="F34" s="23"/>
      <c r="G34" s="18"/>
      <c r="H34" s="23"/>
      <c r="I34" s="18"/>
      <c r="J34" s="23"/>
      <c r="K34" s="18"/>
      <c r="L34" s="23"/>
      <c r="M34" s="18"/>
      <c r="N34" s="23"/>
      <c r="O34" s="19"/>
      <c r="P34" s="18"/>
      <c r="Q34" s="19"/>
      <c r="R34" s="18"/>
      <c r="S34" s="19"/>
      <c r="T34" s="20"/>
      <c r="U34" s="21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E35" s="3"/>
      <c r="G35" s="3"/>
      <c r="I35" s="3"/>
      <c r="K35" s="3"/>
      <c r="M35" s="3"/>
      <c r="O35" s="24"/>
      <c r="P35" s="3"/>
      <c r="Q35" s="24"/>
      <c r="R35" s="3"/>
      <c r="S35" s="24"/>
      <c r="T35" s="20"/>
      <c r="U35" s="21"/>
      <c r="V35" s="22"/>
      <c r="W35" s="22"/>
    </row>
    <row r="36" spans="1:34">
      <c r="E36" s="3"/>
      <c r="G36" s="3"/>
      <c r="I36" s="3"/>
      <c r="K36" s="3"/>
      <c r="M36" s="3"/>
      <c r="O36" s="24"/>
      <c r="P36" s="3"/>
      <c r="Q36" s="24"/>
      <c r="R36" s="3"/>
      <c r="S36" s="24"/>
      <c r="T36" s="20"/>
      <c r="U36" s="21"/>
      <c r="V36" s="22"/>
      <c r="W36" s="22"/>
    </row>
    <row r="37" spans="1:34">
      <c r="E37" s="3"/>
      <c r="G37" s="3"/>
      <c r="I37" s="3"/>
      <c r="K37" s="3"/>
      <c r="M37" s="3"/>
      <c r="O37" s="24"/>
      <c r="P37" s="3"/>
      <c r="Q37" s="24"/>
      <c r="R37" s="3"/>
      <c r="S37" s="24"/>
      <c r="T37" s="20"/>
      <c r="U37" s="21"/>
      <c r="V37" s="22"/>
      <c r="W37" s="22"/>
    </row>
    <row r="38" spans="1:34">
      <c r="E38" s="3"/>
      <c r="G38" s="3"/>
      <c r="I38" s="3"/>
      <c r="K38" s="3"/>
      <c r="M38" s="3"/>
      <c r="O38" s="24"/>
      <c r="P38" s="3"/>
      <c r="Q38" s="24"/>
      <c r="R38" s="3"/>
      <c r="S38" s="24"/>
      <c r="T38" s="20"/>
      <c r="U38" s="21"/>
      <c r="V38" s="22"/>
      <c r="W38" s="22"/>
    </row>
    <row r="39" spans="1:34">
      <c r="E39" s="3"/>
      <c r="G39" s="3"/>
      <c r="I39" s="3"/>
      <c r="K39" s="3"/>
      <c r="M39" s="3"/>
      <c r="O39" s="24"/>
      <c r="P39" s="3"/>
      <c r="Q39" s="24"/>
      <c r="R39" s="3"/>
      <c r="S39" s="24"/>
      <c r="T39" s="20"/>
      <c r="U39" s="21"/>
      <c r="V39" s="22"/>
      <c r="W39" s="22"/>
    </row>
    <row r="40" spans="1:34">
      <c r="E40" s="3"/>
      <c r="G40" s="3"/>
      <c r="I40" s="3"/>
      <c r="K40" s="3"/>
      <c r="M40" s="3"/>
      <c r="O40" s="24"/>
      <c r="P40" s="3"/>
      <c r="Q40" s="24"/>
      <c r="R40" s="3"/>
      <c r="S40" s="24"/>
      <c r="T40" s="20"/>
      <c r="U40" s="21"/>
      <c r="V40" s="22"/>
      <c r="W40" s="22"/>
    </row>
    <row r="41" spans="1:34">
      <c r="E41" s="3"/>
      <c r="G41" s="3"/>
      <c r="I41" s="3"/>
      <c r="K41" s="3"/>
      <c r="M41" s="3"/>
      <c r="O41" s="24"/>
      <c r="P41" s="3"/>
      <c r="Q41" s="24"/>
      <c r="R41" s="3"/>
      <c r="S41" s="24"/>
      <c r="T41" s="20"/>
      <c r="U41" s="21"/>
      <c r="V41" s="22"/>
      <c r="W41" s="22"/>
    </row>
    <row r="42" spans="1:34" ht="15.75" customHeight="1">
      <c r="T42" s="20"/>
      <c r="U42" s="21"/>
      <c r="V42" s="22"/>
      <c r="W42" s="22"/>
    </row>
    <row r="43" spans="1:34" ht="15.75" customHeight="1">
      <c r="T43" s="20"/>
      <c r="U43" s="21"/>
      <c r="V43" s="22"/>
      <c r="W43" s="22"/>
    </row>
    <row r="44" spans="1:34" ht="15.75" customHeight="1">
      <c r="T44" s="20"/>
      <c r="U44" s="21"/>
      <c r="V44" s="22"/>
      <c r="W44" s="22"/>
    </row>
    <row r="45" spans="1:34" ht="15.75" customHeight="1">
      <c r="T45" s="20"/>
      <c r="U45" s="21"/>
      <c r="V45" s="22"/>
      <c r="W45" s="22"/>
    </row>
    <row r="46" spans="1:34" ht="15.75" customHeight="1">
      <c r="T46" s="20"/>
      <c r="U46" s="21"/>
      <c r="V46" s="22"/>
      <c r="W46" s="22"/>
    </row>
    <row r="47" spans="1:34" ht="15.75" customHeight="1">
      <c r="T47" s="20"/>
      <c r="U47" s="21"/>
      <c r="V47" s="22"/>
      <c r="W47" s="22"/>
    </row>
    <row r="48" spans="1:34" ht="15.75" customHeight="1">
      <c r="T48" s="20"/>
      <c r="U48" s="21"/>
      <c r="V48" s="22"/>
      <c r="W48" s="22"/>
    </row>
    <row r="49" spans="20:23" ht="15.75" customHeight="1">
      <c r="T49" s="20"/>
      <c r="U49" s="21"/>
      <c r="V49" s="22"/>
      <c r="W49" s="22"/>
    </row>
    <row r="50" spans="20:23" ht="15.75" customHeight="1">
      <c r="T50" s="20"/>
      <c r="U50" s="21"/>
      <c r="V50" s="22"/>
      <c r="W50" s="22"/>
    </row>
    <row r="51" spans="20:23" ht="15.75" customHeight="1">
      <c r="T51" s="20"/>
      <c r="U51" s="21"/>
      <c r="V51" s="22"/>
      <c r="W51" s="22"/>
    </row>
    <row r="52" spans="20:23" ht="15.75" customHeight="1">
      <c r="T52" s="20"/>
      <c r="U52" s="21"/>
      <c r="V52" s="22"/>
      <c r="W52" s="22"/>
    </row>
    <row r="53" spans="20:23" ht="15.75" customHeight="1">
      <c r="T53" s="20"/>
      <c r="U53" s="21"/>
      <c r="V53" s="22"/>
      <c r="W53" s="22"/>
    </row>
    <row r="54" spans="20:23" ht="15.75" customHeight="1">
      <c r="T54" s="20"/>
      <c r="U54" s="21"/>
      <c r="V54" s="22"/>
      <c r="W54" s="22"/>
    </row>
    <row r="55" spans="20:23" ht="15.75" customHeight="1">
      <c r="T55" s="20"/>
      <c r="U55" s="21"/>
      <c r="V55" s="22"/>
      <c r="W55" s="22"/>
    </row>
    <row r="56" spans="20:23" ht="15.75" customHeight="1">
      <c r="T56" s="20"/>
      <c r="U56" s="21"/>
      <c r="V56" s="22"/>
      <c r="W56" s="22"/>
    </row>
    <row r="57" spans="20:23" ht="15.75" customHeight="1">
      <c r="T57" s="20"/>
      <c r="U57" s="21"/>
      <c r="V57" s="22"/>
      <c r="W57" s="22"/>
    </row>
    <row r="58" spans="20:23" ht="15.75" customHeight="1">
      <c r="T58" s="20"/>
      <c r="U58" s="21"/>
      <c r="V58" s="22"/>
      <c r="W58" s="22"/>
    </row>
    <row r="59" spans="20:23" ht="15.75" customHeight="1">
      <c r="T59" s="20"/>
      <c r="U59" s="21"/>
      <c r="V59" s="22"/>
      <c r="W59" s="22"/>
    </row>
    <row r="60" spans="20:23" ht="15.75" customHeight="1">
      <c r="T60" s="20"/>
      <c r="U60" s="21"/>
      <c r="V60" s="22"/>
      <c r="W60" s="22"/>
    </row>
    <row r="61" spans="20:23" ht="15.75" customHeight="1">
      <c r="T61" s="20"/>
      <c r="U61" s="21"/>
      <c r="V61" s="22"/>
      <c r="W61" s="22"/>
    </row>
    <row r="62" spans="20:23" ht="15.75" customHeight="1">
      <c r="T62" s="20"/>
      <c r="U62" s="21"/>
      <c r="V62" s="22"/>
      <c r="W62" s="22"/>
    </row>
    <row r="63" spans="20:23" ht="15.75" customHeight="1">
      <c r="T63" s="20"/>
      <c r="U63" s="21"/>
      <c r="V63" s="22"/>
      <c r="W63" s="22"/>
    </row>
    <row r="64" spans="20:23" ht="15.75" customHeight="1">
      <c r="T64" s="20"/>
      <c r="U64" s="21"/>
      <c r="V64" s="22"/>
      <c r="W64" s="22"/>
    </row>
    <row r="65" spans="20:23" ht="15">
      <c r="T65" s="20"/>
      <c r="U65" s="21"/>
      <c r="V65" s="22"/>
      <c r="W65" s="22"/>
    </row>
    <row r="66" spans="20:23" ht="15">
      <c r="T66" s="20"/>
      <c r="U66" s="21"/>
      <c r="V66" s="22"/>
      <c r="W66" s="22"/>
    </row>
    <row r="67" spans="20:23" ht="15">
      <c r="T67" s="20"/>
      <c r="U67" s="21"/>
      <c r="V67" s="22"/>
      <c r="W67" s="22"/>
    </row>
    <row r="68" spans="20:23" ht="15">
      <c r="T68" s="20"/>
      <c r="U68" s="21"/>
      <c r="V68" s="22"/>
      <c r="W68" s="22"/>
    </row>
    <row r="69" spans="20:23" ht="15">
      <c r="T69" s="20"/>
      <c r="U69" s="21"/>
      <c r="V69" s="22"/>
      <c r="W69" s="22"/>
    </row>
    <row r="70" spans="20:23" ht="15">
      <c r="T70" s="20"/>
      <c r="U70" s="21"/>
      <c r="V70" s="22"/>
      <c r="W70" s="22"/>
    </row>
    <row r="71" spans="20:23" ht="15">
      <c r="T71" s="20"/>
      <c r="U71" s="21"/>
      <c r="V71" s="22"/>
      <c r="W71" s="22"/>
    </row>
    <row r="72" spans="20:23" ht="15">
      <c r="T72" s="20"/>
      <c r="U72" s="21"/>
      <c r="V72" s="22"/>
      <c r="W72" s="22"/>
    </row>
    <row r="73" spans="20:23" ht="15">
      <c r="T73" s="20"/>
      <c r="U73" s="21"/>
      <c r="V73" s="22"/>
      <c r="W73" s="22"/>
    </row>
    <row r="74" spans="20:23" ht="15">
      <c r="T74" s="20"/>
      <c r="U74" s="21"/>
      <c r="V74" s="22"/>
      <c r="W74" s="22"/>
    </row>
    <row r="75" spans="20:23" ht="15">
      <c r="T75" s="20"/>
      <c r="U75" s="21"/>
      <c r="V75" s="22"/>
      <c r="W75" s="22"/>
    </row>
    <row r="76" spans="20:23" ht="15">
      <c r="T76" s="20"/>
      <c r="U76" s="21"/>
      <c r="V76" s="22"/>
      <c r="W76" s="22"/>
    </row>
  </sheetData>
  <mergeCells count="6">
    <mergeCell ref="B1:C1"/>
    <mergeCell ref="D1:W2"/>
    <mergeCell ref="B2:C2"/>
    <mergeCell ref="D3:M3"/>
    <mergeCell ref="N3:S3"/>
    <mergeCell ref="T3:W3"/>
  </mergeCells>
  <dataValidations count="9">
    <dataValidation type="list" allowBlank="1" showErrorMessage="1" sqref="N5:N9 P5:P9 R5:R9" xr:uid="{00000000-0002-0000-2000-000000000000}">
      <formula1>"High,Low,None"</formula1>
    </dataValidation>
    <dataValidation type="list" allowBlank="1" showErrorMessage="1" sqref="B5:B9" xr:uid="{00000000-0002-0000-2000-000001000000}">
      <formula1>"Spoofing ,Tampering,Repudiation,Information Disclosure,Denial of Service,Elevation of Privilage"</formula1>
    </dataValidation>
    <dataValidation type="list" allowBlank="1" showErrorMessage="1" sqref="L5:L9" xr:uid="{00000000-0002-0000-2000-000002000000}">
      <formula1>"Unchanged,Changed"</formula1>
    </dataValidation>
    <dataValidation type="list" allowBlank="1" showErrorMessage="1" sqref="F5:F9" xr:uid="{00000000-0002-0000-2000-000003000000}">
      <formula1>"Low,High"</formula1>
    </dataValidation>
    <dataValidation type="list" allowBlank="1" showErrorMessage="1" sqref="D5:D9" xr:uid="{00000000-0002-0000-2000-000004000000}">
      <formula1>"Network,Adjacent Network,Local,Physical"</formula1>
    </dataValidation>
    <dataValidation type="list" allowBlank="1" showErrorMessage="1" sqref="A5:A6 A8:A9" xr:uid="{00000000-0002-0000-2000-000005000000}">
      <formula1>"Admin,Admin Service,Book Database,Book Service,Bookshop system,Browser,Customer,F6,Firerwall, API Gateway,Payment Service,R1,R10,R13,R14,R15,R2,R3,R4,R5,R7,R8,User Database,User Service,System"</formula1>
    </dataValidation>
    <dataValidation type="list" allowBlank="1" showErrorMessage="1" sqref="J5:J9" xr:uid="{00000000-0002-0000-2000-000006000000}">
      <formula1>"None,Required"</formula1>
    </dataValidation>
    <dataValidation type="list" allowBlank="1" showErrorMessage="1" sqref="H5:H9" xr:uid="{00000000-0002-0000-2000-000007000000}">
      <formula1>"None,Low,High"</formula1>
    </dataValidation>
    <dataValidation type="list" allowBlank="1" showErrorMessage="1" sqref="A7" xr:uid="{00000000-0002-0000-2000-000008000000}">
      <formula1>"Admin,Admin Service,Book Database,Book Service,Bookshop system,Browser,Customer,F6,Firerwall, API Gateway,Payment Service,R1,R10,R13,R14,R15,R2,R3,R4,R5,R7,R8,User Database,User Service"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Control</vt:lpstr>
      <vt:lpstr>227</vt:lpstr>
      <vt:lpstr>225</vt:lpstr>
      <vt:lpstr>222</vt:lpstr>
      <vt:lpstr>23</vt:lpstr>
      <vt:lpstr>17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24</vt:lpstr>
      <vt:lpstr>25</vt:lpstr>
      <vt:lpstr>27</vt:lpstr>
      <vt:lpstr>31</vt:lpstr>
      <vt:lpstr>32</vt:lpstr>
      <vt:lpstr>33</vt:lpstr>
      <vt:lpstr>223</vt:lpstr>
      <vt:lpstr>224</vt:lpstr>
      <vt:lpstr>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McDevitt</cp:lastModifiedBy>
  <dcterms:modified xsi:type="dcterms:W3CDTF">2026-01-02T10:47:39Z</dcterms:modified>
</cp:coreProperties>
</file>